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\Desktop\"/>
    </mc:Choice>
  </mc:AlternateContent>
  <xr:revisionPtr revIDLastSave="0" documentId="13_ncr:1_{91B5FC44-2BDB-44D5-95F9-97E6A24961B9}" xr6:coauthVersionLast="47" xr6:coauthVersionMax="47" xr10:uidLastSave="{00000000-0000-0000-0000-000000000000}"/>
  <bookViews>
    <workbookView xWindow="-108" yWindow="-108" windowWidth="23256" windowHeight="12456" tabRatio="599" activeTab="1" xr2:uid="{AF6AB268-54AD-4918-9B17-C9AE21EB9BB9}"/>
  </bookViews>
  <sheets>
    <sheet name="2024" sheetId="1" r:id="rId1"/>
    <sheet name="2025" sheetId="2" r:id="rId2"/>
  </sheets>
  <functionGroups builtInGroupCount="19"/>
  <definedNames>
    <definedName name="AreaTitolo1..AG6" localSheetId="0">'2024'!#REF!</definedName>
    <definedName name="AreaTitolo10..AG51" localSheetId="0">'2024'!#REF!</definedName>
    <definedName name="AreaTitolo11..AG56" localSheetId="0">'2024'!#REF!</definedName>
    <definedName name="AreaTitolo12..AG61" localSheetId="0">'2024'!#REF!</definedName>
    <definedName name="AreaTitolo2..AG11" localSheetId="0">'2024'!#REF!</definedName>
    <definedName name="AreaTitolo3..AG16" localSheetId="0">'2024'!#REF!</definedName>
    <definedName name="AreaTitolo4..AG21" localSheetId="0">'2024'!#REF!</definedName>
    <definedName name="AreaTitolo5..AG26" localSheetId="0">'2024'!#REF!</definedName>
    <definedName name="AreaTitolo6..AG31" localSheetId="0">'2024'!#REF!</definedName>
    <definedName name="AreaTitolo7..AG36" localSheetId="0">'2024'!#REF!</definedName>
    <definedName name="AreaTitolo8..AG41" localSheetId="0">'2024'!#REF!</definedName>
    <definedName name="AreaTitolo9..AG46" localSheetId="0">'2024'!#REF!</definedName>
    <definedName name="_xlnm.Print_Area" localSheetId="0">'2024'!$A$63:$R$82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4" i="2" l="1" a="1"/>
  <c r="AB4" i="2" s="1"/>
  <c r="AF4" i="2" s="1"/>
  <c r="AG4" i="2" s="1" a="1"/>
  <c r="AG4" i="2" s="1"/>
  <c r="AH4" i="2" s="1"/>
  <c r="AB5" i="2" a="1"/>
  <c r="AB5" i="2" s="1"/>
  <c r="AF5" i="2" s="1"/>
  <c r="AG5" i="2" s="1" a="1"/>
  <c r="AG5" i="2" s="1"/>
  <c r="AH5" i="2" s="1"/>
  <c r="AB6" i="2" a="1"/>
  <c r="AB6" i="2" s="1"/>
  <c r="AF6" i="2" s="1"/>
  <c r="AB7" i="2" a="1"/>
  <c r="AB7" i="2" s="1"/>
  <c r="AF7" i="2" s="1"/>
  <c r="AB8" i="2" a="1"/>
  <c r="AB8" i="2" s="1"/>
  <c r="AF8" i="2" s="1"/>
  <c r="AB9" i="2" a="1"/>
  <c r="AB9" i="2" s="1"/>
  <c r="AB10" i="2" a="1"/>
  <c r="AB10" i="2" s="1"/>
  <c r="AF10" i="2" s="1"/>
  <c r="AB11" i="2" a="1"/>
  <c r="AB11" i="2" s="1"/>
  <c r="AF11" i="2" s="1"/>
  <c r="AG11" i="2" s="1" a="1"/>
  <c r="AG11" i="2" s="1"/>
  <c r="AH11" i="2" s="1"/>
  <c r="AB12" i="2" a="1"/>
  <c r="AB12" i="2" s="1"/>
  <c r="AF12" i="2" s="1"/>
  <c r="AG12" i="2" s="1" a="1"/>
  <c r="AG12" i="2" s="1"/>
  <c r="AH12" i="2" s="1"/>
  <c r="AB13" i="2" a="1"/>
  <c r="AB13" i="2" s="1"/>
  <c r="AF13" i="2" s="1"/>
  <c r="AG13" i="2" s="1" a="1"/>
  <c r="AG13" i="2" s="1"/>
  <c r="AH13" i="2" s="1"/>
  <c r="AB14" i="2" a="1"/>
  <c r="AB14" i="2" s="1"/>
  <c r="AF14" i="2" s="1"/>
  <c r="AG14" i="2" s="1" a="1"/>
  <c r="AG14" i="2" s="1"/>
  <c r="AH14" i="2" s="1"/>
  <c r="AB15" i="2" a="1"/>
  <c r="AB15" i="2" s="1"/>
  <c r="AF15" i="2" s="1"/>
  <c r="AG15" i="2" s="1" a="1"/>
  <c r="AG15" i="2" s="1"/>
  <c r="AH15" i="2" s="1"/>
  <c r="AB16" i="2" a="1"/>
  <c r="AB16" i="2" s="1"/>
  <c r="AF16" i="2" s="1"/>
  <c r="AG16" i="2" s="1" a="1"/>
  <c r="AG16" i="2" s="1"/>
  <c r="AH16" i="2" s="1"/>
  <c r="AB17" i="2" a="1"/>
  <c r="AB17" i="2" s="1"/>
  <c r="AF17" i="2" s="1"/>
  <c r="AB18" i="2" a="1"/>
  <c r="AB18" i="2" s="1"/>
  <c r="AF18" i="2" s="1"/>
  <c r="AB19" i="2" a="1"/>
  <c r="AB19" i="2" s="1"/>
  <c r="AF19" i="2" s="1"/>
  <c r="AG19" i="2" s="1" a="1"/>
  <c r="AG19" i="2" s="1"/>
  <c r="AH19" i="2" s="1"/>
  <c r="AB20" i="2" a="1"/>
  <c r="AB20" i="2" s="1"/>
  <c r="AF20" i="2" s="1"/>
  <c r="AG20" i="2" s="1" a="1"/>
  <c r="AG20" i="2" s="1"/>
  <c r="AH20" i="2" s="1"/>
  <c r="AB21" i="2" a="1"/>
  <c r="AB21" i="2" s="1"/>
  <c r="AF21" i="2" s="1"/>
  <c r="AG21" i="2" s="1" a="1"/>
  <c r="AG21" i="2" s="1"/>
  <c r="AH21" i="2" s="1"/>
  <c r="AB22" i="2" a="1"/>
  <c r="AB22" i="2" s="1"/>
  <c r="AB23" i="2" a="1"/>
  <c r="AB23" i="2" s="1"/>
  <c r="AF23" i="2" s="1"/>
  <c r="AG23" i="2" s="1" a="1"/>
  <c r="AG23" i="2" s="1"/>
  <c r="AH23" i="2" s="1"/>
  <c r="AB24" i="2" a="1"/>
  <c r="AB24" i="2" s="1"/>
  <c r="AF24" i="2" s="1"/>
  <c r="AB25" i="2" a="1"/>
  <c r="AB25" i="2" s="1"/>
  <c r="AB26" i="2" a="1"/>
  <c r="AB26" i="2" s="1"/>
  <c r="AF26" i="2" s="1"/>
  <c r="AB27" i="2" a="1"/>
  <c r="AB27" i="2" s="1"/>
  <c r="AF27" i="2" s="1"/>
  <c r="AG27" i="2" s="1" a="1"/>
  <c r="AG27" i="2" s="1"/>
  <c r="AH27" i="2" s="1"/>
  <c r="AB28" i="2" a="1"/>
  <c r="AB28" i="2" s="1"/>
  <c r="AF28" i="2" s="1"/>
  <c r="AG28" i="2" s="1" a="1"/>
  <c r="AG28" i="2" s="1"/>
  <c r="AH28" i="2" s="1"/>
  <c r="AB29" i="2" a="1"/>
  <c r="AB29" i="2" s="1"/>
  <c r="AF29" i="2" s="1"/>
  <c r="AG29" i="2" s="1" a="1"/>
  <c r="AG29" i="2" s="1"/>
  <c r="AH29" i="2" s="1"/>
  <c r="AB30" i="2" a="1"/>
  <c r="AB30" i="2" s="1"/>
  <c r="AF30" i="2" s="1"/>
  <c r="AG30" i="2" s="1" a="1"/>
  <c r="AG30" i="2" s="1"/>
  <c r="AH30" i="2" s="1"/>
  <c r="AB31" i="2" a="1"/>
  <c r="AB31" i="2" s="1"/>
  <c r="AF31" i="2" s="1"/>
  <c r="AG31" i="2" s="1" a="1"/>
  <c r="AG31" i="2" s="1"/>
  <c r="AH31" i="2" s="1"/>
  <c r="AB32" i="2" a="1"/>
  <c r="AB32" i="2" s="1"/>
  <c r="AF32" i="2" s="1"/>
  <c r="AG32" i="2" s="1" a="1"/>
  <c r="AG32" i="2" s="1"/>
  <c r="AH32" i="2" s="1"/>
  <c r="AB33" i="2" a="1"/>
  <c r="AB33" i="2" s="1"/>
  <c r="AF33" i="2" s="1"/>
  <c r="AG33" i="2" s="1" a="1"/>
  <c r="AG33" i="2" s="1"/>
  <c r="AH33" i="2" s="1"/>
  <c r="AB34" i="2" a="1"/>
  <c r="AB34" i="2" s="1"/>
  <c r="AF34" i="2" s="1"/>
  <c r="AB35" i="2" a="1"/>
  <c r="AB35" i="2" s="1"/>
  <c r="AF35" i="2" s="1"/>
  <c r="AG35" i="2" s="1" a="1"/>
  <c r="AG35" i="2" s="1"/>
  <c r="AH35" i="2" s="1"/>
  <c r="AB36" i="2" a="1"/>
  <c r="AB36" i="2" s="1"/>
  <c r="AF36" i="2" s="1"/>
  <c r="AG36" i="2" s="1" a="1"/>
  <c r="AG36" i="2" s="1"/>
  <c r="AH36" i="2" s="1"/>
  <c r="AB37" i="2" a="1"/>
  <c r="AB37" i="2" s="1"/>
  <c r="AF37" i="2" s="1"/>
  <c r="AG37" i="2" s="1" a="1"/>
  <c r="AG37" i="2" s="1"/>
  <c r="AH37" i="2" s="1"/>
  <c r="AB38" i="2" a="1"/>
  <c r="AB38" i="2" s="1"/>
  <c r="AB39" i="2" a="1"/>
  <c r="AB39" i="2" s="1"/>
  <c r="AF39" i="2" s="1"/>
  <c r="AG39" i="2" s="1" a="1"/>
  <c r="AG39" i="2" s="1"/>
  <c r="AH39" i="2" s="1"/>
  <c r="AB40" i="2" a="1"/>
  <c r="AB40" i="2" s="1"/>
  <c r="AF40" i="2" s="1"/>
  <c r="AB41" i="2" a="1"/>
  <c r="AB41" i="2" s="1"/>
  <c r="AB42" i="2" a="1"/>
  <c r="AB42" i="2" s="1"/>
  <c r="AF42" i="2" s="1"/>
  <c r="AB43" i="2" a="1"/>
  <c r="AB43" i="2" s="1"/>
  <c r="AF43" i="2" s="1"/>
  <c r="AG43" i="2" s="1" a="1"/>
  <c r="AG43" i="2" s="1"/>
  <c r="AH43" i="2" s="1"/>
  <c r="AB44" i="2" a="1"/>
  <c r="AB44" i="2" s="1"/>
  <c r="AF44" i="2" s="1"/>
  <c r="AG44" i="2" s="1" a="1"/>
  <c r="AG44" i="2" s="1"/>
  <c r="AH44" i="2" s="1"/>
  <c r="AB45" i="2" a="1"/>
  <c r="AB45" i="2" s="1"/>
  <c r="AF45" i="2" s="1"/>
  <c r="AG45" i="2" s="1" a="1"/>
  <c r="AG45" i="2" s="1"/>
  <c r="AH45" i="2" s="1"/>
  <c r="AB46" i="2" a="1"/>
  <c r="AB46" i="2" s="1"/>
  <c r="AF46" i="2" s="1"/>
  <c r="AG46" i="2" s="1" a="1"/>
  <c r="AG46" i="2" s="1"/>
  <c r="AH46" i="2" s="1"/>
  <c r="AB47" i="2" a="1"/>
  <c r="AB47" i="2" s="1"/>
  <c r="AF47" i="2" s="1"/>
  <c r="AG47" i="2" s="1" a="1"/>
  <c r="AG47" i="2" s="1"/>
  <c r="AH47" i="2" s="1"/>
  <c r="AB48" i="2" a="1"/>
  <c r="AB48" i="2" s="1"/>
  <c r="AB49" i="2" a="1"/>
  <c r="AB49" i="2" s="1"/>
  <c r="AF49" i="2" s="1"/>
  <c r="AG49" i="2" s="1" a="1"/>
  <c r="AG49" i="2" s="1"/>
  <c r="AH49" i="2" s="1"/>
  <c r="AB50" i="2" a="1"/>
  <c r="AB50" i="2" s="1"/>
  <c r="AF50" i="2" s="1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2" i="2"/>
  <c r="AB2" i="2" a="1"/>
  <c r="AB2" i="2" s="1"/>
  <c r="AF2" i="2" s="1"/>
  <c r="AG2" i="2" s="1" a="1"/>
  <c r="AG2" i="2" s="1"/>
  <c r="AH2" i="2" s="1"/>
  <c r="AA7" i="2" a="1"/>
  <c r="AA7" i="2" s="1"/>
  <c r="AC7" i="2" s="1"/>
  <c r="AA8" i="2" a="1"/>
  <c r="AA8" i="2" s="1"/>
  <c r="AC8" i="2" s="1"/>
  <c r="AA9" i="2" a="1"/>
  <c r="AA9" i="2" s="1"/>
  <c r="AC9" i="2" s="1"/>
  <c r="AA10" i="2" a="1"/>
  <c r="AA10" i="2" s="1"/>
  <c r="AC10" i="2" s="1"/>
  <c r="AA11" i="2" a="1"/>
  <c r="AA11" i="2" s="1"/>
  <c r="AC11" i="2" s="1"/>
  <c r="AD11" i="2" s="1" a="1"/>
  <c r="AD11" i="2" s="1"/>
  <c r="AA12" i="2" a="1"/>
  <c r="AA12" i="2" s="1"/>
  <c r="AC12" i="2" s="1"/>
  <c r="AA13" i="2" a="1"/>
  <c r="AA13" i="2" s="1"/>
  <c r="AC13" i="2" s="1"/>
  <c r="AD13" i="2" s="1" a="1"/>
  <c r="AD13" i="2" s="1"/>
  <c r="AA14" i="2" a="1"/>
  <c r="AA14" i="2" s="1"/>
  <c r="AC14" i="2" s="1"/>
  <c r="AD14" i="2" s="1" a="1"/>
  <c r="AD14" i="2" s="1"/>
  <c r="AA15" i="2" a="1"/>
  <c r="AA15" i="2" s="1"/>
  <c r="AC15" i="2" s="1"/>
  <c r="AD15" i="2" s="1" a="1"/>
  <c r="AD15" i="2" s="1"/>
  <c r="AA16" i="2" a="1"/>
  <c r="AA16" i="2" s="1"/>
  <c r="AC16" i="2" s="1"/>
  <c r="AA17" i="2" a="1"/>
  <c r="AA17" i="2" s="1"/>
  <c r="AC17" i="2" s="1"/>
  <c r="AA18" i="2" a="1"/>
  <c r="AA18" i="2" s="1"/>
  <c r="AC18" i="2" s="1"/>
  <c r="AA19" i="2" a="1"/>
  <c r="AA19" i="2" s="1"/>
  <c r="AC19" i="2" s="1"/>
  <c r="AD19" i="2" s="1" a="1"/>
  <c r="AD19" i="2" s="1"/>
  <c r="AA20" i="2" a="1"/>
  <c r="AA20" i="2" s="1"/>
  <c r="AC20" i="2" s="1"/>
  <c r="AA21" i="2" a="1"/>
  <c r="AA21" i="2" s="1"/>
  <c r="AC21" i="2" s="1"/>
  <c r="AD21" i="2" s="1" a="1"/>
  <c r="AD21" i="2" s="1"/>
  <c r="AA22" i="2" a="1"/>
  <c r="AA22" i="2" s="1"/>
  <c r="AC22" i="2" s="1"/>
  <c r="AD22" i="2" s="1" a="1"/>
  <c r="AD22" i="2" s="1"/>
  <c r="AA23" i="2" a="1"/>
  <c r="AA23" i="2" s="1"/>
  <c r="AC23" i="2" s="1"/>
  <c r="AD23" i="2" s="1" a="1"/>
  <c r="AD23" i="2" s="1"/>
  <c r="AA24" i="2" a="1"/>
  <c r="AA24" i="2" s="1"/>
  <c r="AC24" i="2" s="1"/>
  <c r="AA25" i="2" a="1"/>
  <c r="AA25" i="2" s="1"/>
  <c r="AC25" i="2" s="1"/>
  <c r="AA26" i="2" a="1"/>
  <c r="AA26" i="2" s="1"/>
  <c r="AC26" i="2" s="1"/>
  <c r="AA27" i="2" a="1"/>
  <c r="AA27" i="2" s="1"/>
  <c r="AC27" i="2" s="1"/>
  <c r="AD27" i="2" s="1" a="1"/>
  <c r="AD27" i="2" s="1"/>
  <c r="AA28" i="2" a="1"/>
  <c r="AA28" i="2" s="1"/>
  <c r="AC28" i="2" s="1"/>
  <c r="AA29" i="2" a="1"/>
  <c r="AA29" i="2" s="1"/>
  <c r="AC29" i="2" s="1"/>
  <c r="AD29" i="2" s="1" a="1"/>
  <c r="AD29" i="2" s="1"/>
  <c r="AA30" i="2" a="1"/>
  <c r="AA30" i="2" s="1"/>
  <c r="AC30" i="2" s="1"/>
  <c r="AD30" i="2" s="1" a="1"/>
  <c r="AD30" i="2" s="1"/>
  <c r="AA31" i="2" a="1"/>
  <c r="AA31" i="2" s="1"/>
  <c r="AC31" i="2" s="1"/>
  <c r="AD31" i="2" s="1" a="1"/>
  <c r="AD31" i="2" s="1"/>
  <c r="AA32" i="2" a="1"/>
  <c r="AA32" i="2" s="1"/>
  <c r="AC32" i="2" s="1"/>
  <c r="AA33" i="2" a="1"/>
  <c r="AA33" i="2" s="1"/>
  <c r="AC33" i="2" s="1"/>
  <c r="AA34" i="2" a="1"/>
  <c r="AA34" i="2" s="1"/>
  <c r="AC34" i="2" s="1"/>
  <c r="AA35" i="2" a="1"/>
  <c r="AA35" i="2" s="1"/>
  <c r="AC35" i="2" s="1"/>
  <c r="AD35" i="2" s="1" a="1"/>
  <c r="AD35" i="2" s="1"/>
  <c r="AA36" i="2" a="1"/>
  <c r="AA36" i="2" s="1"/>
  <c r="AC36" i="2" s="1"/>
  <c r="AA37" i="2" a="1"/>
  <c r="AA37" i="2" s="1"/>
  <c r="AC37" i="2" s="1"/>
  <c r="AD37" i="2" s="1" a="1"/>
  <c r="AD37" i="2" s="1"/>
  <c r="AA38" i="2" a="1"/>
  <c r="AA38" i="2" s="1"/>
  <c r="AC38" i="2" s="1"/>
  <c r="AD38" i="2" s="1" a="1"/>
  <c r="AD38" i="2" s="1"/>
  <c r="AA39" i="2" a="1"/>
  <c r="AA39" i="2" s="1"/>
  <c r="AC39" i="2" s="1"/>
  <c r="AD39" i="2" s="1" a="1"/>
  <c r="AD39" i="2" s="1"/>
  <c r="AA40" i="2" a="1"/>
  <c r="AA40" i="2" s="1"/>
  <c r="AC40" i="2" s="1"/>
  <c r="AA41" i="2" a="1"/>
  <c r="AA41" i="2" s="1"/>
  <c r="AC41" i="2" s="1"/>
  <c r="AA42" i="2" a="1"/>
  <c r="AA42" i="2" s="1"/>
  <c r="AC42" i="2" s="1"/>
  <c r="AA43" i="2" a="1"/>
  <c r="AA43" i="2" s="1"/>
  <c r="AC43" i="2" s="1"/>
  <c r="AD43" i="2" s="1" a="1"/>
  <c r="AD43" i="2" s="1"/>
  <c r="AA44" i="2" a="1"/>
  <c r="AA44" i="2" s="1"/>
  <c r="AC44" i="2" s="1"/>
  <c r="AA45" i="2" a="1"/>
  <c r="AA45" i="2" s="1"/>
  <c r="AC45" i="2" s="1"/>
  <c r="AD45" i="2" s="1" a="1"/>
  <c r="AD45" i="2" s="1"/>
  <c r="AA46" i="2" a="1"/>
  <c r="AA46" i="2" s="1"/>
  <c r="AC46" i="2" s="1"/>
  <c r="AD46" i="2" s="1" a="1"/>
  <c r="AD46" i="2" s="1"/>
  <c r="AA47" i="2" a="1"/>
  <c r="AA47" i="2" s="1"/>
  <c r="AC47" i="2" s="1"/>
  <c r="AD47" i="2" s="1" a="1"/>
  <c r="AD47" i="2" s="1"/>
  <c r="AA48" i="2" a="1"/>
  <c r="AA48" i="2" s="1"/>
  <c r="AC48" i="2" s="1"/>
  <c r="AA49" i="2" a="1"/>
  <c r="AA49" i="2" s="1"/>
  <c r="AC49" i="2" s="1"/>
  <c r="AA50" i="2" a="1"/>
  <c r="AA50" i="2" s="1"/>
  <c r="AC50" i="2" s="1"/>
  <c r="AA2" i="2" a="1"/>
  <c r="AA2" i="2" s="1"/>
  <c r="AC2" i="2" s="1"/>
  <c r="AD2" i="2" s="1" a="1"/>
  <c r="AD2" i="2" s="1"/>
  <c r="AE2" i="2" s="1"/>
  <c r="AA5" i="2" a="1"/>
  <c r="AA5" i="2" s="1"/>
  <c r="AC5" i="2" s="1"/>
  <c r="AD5" i="2" s="1" a="1"/>
  <c r="AD5" i="2" s="1"/>
  <c r="AA6" i="2" a="1"/>
  <c r="AA6" i="2" s="1"/>
  <c r="AC6" i="2" s="1"/>
  <c r="AB3" i="2" a="1"/>
  <c r="AB3" i="2" s="1"/>
  <c r="AF3" i="2" s="1"/>
  <c r="AG3" i="2" s="1" a="1"/>
  <c r="AG3" i="2" s="1"/>
  <c r="AH3" i="2" s="1"/>
  <c r="AA4" i="2" a="1"/>
  <c r="AA4" i="2" s="1"/>
  <c r="AC4" i="2" s="1"/>
  <c r="AD4" i="2" s="1" a="1"/>
  <c r="AD4" i="2" s="1"/>
  <c r="AA3" i="2" a="1"/>
  <c r="AA3" i="2" s="1"/>
  <c r="AC3" i="2" s="1"/>
  <c r="AD3" i="2" s="1" a="1"/>
  <c r="AD3" i="2" s="1"/>
  <c r="AG6" i="2" l="1" a="1"/>
  <c r="AG6" i="2" s="1"/>
  <c r="AH6" i="2" s="1"/>
  <c r="AD6" i="2" a="1"/>
  <c r="AD6" i="2" s="1"/>
  <c r="AE6" i="2" s="1"/>
  <c r="AD7" i="2" a="1"/>
  <c r="AD7" i="2" s="1"/>
  <c r="AE7" i="2" s="1"/>
  <c r="AG7" i="2" a="1"/>
  <c r="AG7" i="2" s="1"/>
  <c r="AH7" i="2" s="1"/>
  <c r="AG17" i="2" a="1"/>
  <c r="AG17" i="2" s="1"/>
  <c r="AH17" i="2" s="1"/>
  <c r="AF48" i="2"/>
  <c r="AG48" i="2" s="1" a="1"/>
  <c r="AG48" i="2" s="1"/>
  <c r="AH48" i="2" s="1"/>
  <c r="AE47" i="2"/>
  <c r="AE39" i="2"/>
  <c r="AE31" i="2"/>
  <c r="AE23" i="2"/>
  <c r="AE15" i="2"/>
  <c r="AG50" i="2" a="1"/>
  <c r="AG50" i="2" s="1"/>
  <c r="AH50" i="2" s="1"/>
  <c r="AG42" i="2" a="1"/>
  <c r="AG42" i="2" s="1"/>
  <c r="AH42" i="2" s="1"/>
  <c r="AG34" i="2" a="1"/>
  <c r="AG34" i="2" s="1"/>
  <c r="AH34" i="2" s="1"/>
  <c r="AG26" i="2" a="1"/>
  <c r="AG26" i="2" s="1"/>
  <c r="AH26" i="2" s="1"/>
  <c r="AG18" i="2" a="1"/>
  <c r="AG18" i="2" s="1"/>
  <c r="AH18" i="2" s="1"/>
  <c r="AG10" i="2" a="1"/>
  <c r="AG10" i="2" s="1"/>
  <c r="AH10" i="2" s="1"/>
  <c r="AE46" i="2"/>
  <c r="AE38" i="2"/>
  <c r="AE30" i="2"/>
  <c r="AE22" i="2"/>
  <c r="AE14" i="2"/>
  <c r="AE45" i="2"/>
  <c r="AE37" i="2"/>
  <c r="AE29" i="2"/>
  <c r="AE21" i="2"/>
  <c r="AE13" i="2"/>
  <c r="AE5" i="2"/>
  <c r="AG40" i="2" a="1"/>
  <c r="AG40" i="2" s="1"/>
  <c r="AH40" i="2" s="1"/>
  <c r="AG24" i="2" a="1"/>
  <c r="AG24" i="2" s="1"/>
  <c r="AH24" i="2" s="1"/>
  <c r="AG8" i="2" a="1"/>
  <c r="AG8" i="2" s="1"/>
  <c r="AH8" i="2" s="1"/>
  <c r="AE4" i="2"/>
  <c r="AE43" i="2"/>
  <c r="AE35" i="2"/>
  <c r="AE27" i="2"/>
  <c r="AE19" i="2"/>
  <c r="AE11" i="2"/>
  <c r="AE3" i="2"/>
  <c r="AF41" i="2"/>
  <c r="AF25" i="2"/>
  <c r="AF9" i="2"/>
  <c r="AD50" i="2" a="1"/>
  <c r="AD50" i="2" s="1"/>
  <c r="AE50" i="2" s="1"/>
  <c r="AD42" i="2" a="1"/>
  <c r="AD42" i="2" s="1"/>
  <c r="AE42" i="2" s="1"/>
  <c r="AD34" i="2" a="1"/>
  <c r="AD34" i="2" s="1"/>
  <c r="AE34" i="2" s="1"/>
  <c r="AD26" i="2" a="1"/>
  <c r="AD26" i="2" s="1"/>
  <c r="AE26" i="2" s="1"/>
  <c r="AD18" i="2" a="1"/>
  <c r="AD18" i="2" s="1"/>
  <c r="AE18" i="2" s="1"/>
  <c r="AD10" i="2" a="1"/>
  <c r="AD10" i="2" s="1"/>
  <c r="AE10" i="2" s="1"/>
  <c r="AD49" i="2" a="1"/>
  <c r="AD49" i="2" s="1"/>
  <c r="AE49" i="2" s="1"/>
  <c r="AD41" i="2" a="1"/>
  <c r="AD41" i="2" s="1"/>
  <c r="AE41" i="2" s="1"/>
  <c r="AD33" i="2" a="1"/>
  <c r="AD33" i="2" s="1"/>
  <c r="AE33" i="2" s="1"/>
  <c r="AD25" i="2" a="1"/>
  <c r="AD25" i="2" s="1"/>
  <c r="AE25" i="2" s="1"/>
  <c r="AD17" i="2" a="1"/>
  <c r="AD17" i="2" s="1"/>
  <c r="AE17" i="2" s="1"/>
  <c r="AD9" i="2" a="1"/>
  <c r="AD9" i="2" s="1"/>
  <c r="AE9" i="2" s="1"/>
  <c r="AF38" i="2"/>
  <c r="AG38" i="2" s="1" a="1"/>
  <c r="AG38" i="2" s="1"/>
  <c r="AH38" i="2" s="1"/>
  <c r="AF22" i="2"/>
  <c r="AG22" i="2" s="1" a="1"/>
  <c r="AG22" i="2" s="1"/>
  <c r="AH22" i="2" s="1"/>
  <c r="AD44" i="2" a="1"/>
  <c r="AD44" i="2" s="1"/>
  <c r="AE44" i="2" s="1"/>
  <c r="AD36" i="2" a="1"/>
  <c r="AD36" i="2" s="1"/>
  <c r="AE36" i="2" s="1"/>
  <c r="AD28" i="2" a="1"/>
  <c r="AD28" i="2" s="1"/>
  <c r="AE28" i="2" s="1"/>
  <c r="AD20" i="2" a="1"/>
  <c r="AD20" i="2" s="1"/>
  <c r="AE20" i="2" s="1"/>
  <c r="AD12" i="2" a="1"/>
  <c r="AD12" i="2" s="1"/>
  <c r="AE12" i="2" s="1"/>
  <c r="AD48" i="2" a="1"/>
  <c r="AD48" i="2" s="1"/>
  <c r="AE48" i="2" s="1"/>
  <c r="AD40" i="2" a="1"/>
  <c r="AD40" i="2" s="1"/>
  <c r="AE40" i="2" s="1"/>
  <c r="AD32" i="2" a="1"/>
  <c r="AD32" i="2" s="1"/>
  <c r="AE32" i="2" s="1"/>
  <c r="AD24" i="2" a="1"/>
  <c r="AD24" i="2" s="1"/>
  <c r="AE24" i="2" s="1"/>
  <c r="AD16" i="2" a="1"/>
  <c r="AD16" i="2" s="1"/>
  <c r="AE16" i="2" s="1"/>
  <c r="AD8" i="2" a="1"/>
  <c r="AD8" i="2" s="1"/>
  <c r="AE8" i="2" s="1"/>
  <c r="AG25" i="2" l="1" a="1"/>
  <c r="AG25" i="2" s="1"/>
  <c r="AH25" i="2" s="1"/>
  <c r="AG41" i="2" a="1"/>
  <c r="AG41" i="2" s="1"/>
  <c r="AH41" i="2" s="1"/>
  <c r="AG9" i="2" a="1"/>
  <c r="AG9" i="2" s="1"/>
  <c r="AH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<sst xmlns="http://schemas.openxmlformats.org/spreadsheetml/2006/main" count="955" uniqueCount="50">
  <si>
    <t>ACCOGLIENZA</t>
  </si>
  <si>
    <t>GENNAIO</t>
  </si>
  <si>
    <t>CASA 1</t>
  </si>
  <si>
    <t>CASA 3</t>
  </si>
  <si>
    <t>CASA 5</t>
  </si>
  <si>
    <t>CASA 7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</si>
  <si>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</si>
  <si>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</si>
  <si>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</si>
  <si>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</si>
  <si>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</si>
  <si>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</si>
  <si>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</si>
  <si>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</si>
  <si>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</si>
  <si>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</si>
  <si>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</si>
  <si>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LOVREGLIO</t>
  </si>
  <si>
    <t>T.A.</t>
  </si>
  <si>
    <t>ADELE</t>
  </si>
  <si>
    <t>GREMBI</t>
  </si>
  <si>
    <t>CAROFANO</t>
  </si>
  <si>
    <t xml:space="preserve">DELLA CURTI </t>
  </si>
  <si>
    <t>DI MARCO</t>
  </si>
  <si>
    <t>MECONI</t>
  </si>
  <si>
    <t>FLORI</t>
  </si>
  <si>
    <t>G.L</t>
  </si>
  <si>
    <t>VERRO</t>
  </si>
  <si>
    <t>CICCONETTI</t>
  </si>
  <si>
    <t>CAPOGNA</t>
  </si>
  <si>
    <t>DELL'ACQUILA</t>
  </si>
  <si>
    <t>REPUCCI</t>
  </si>
  <si>
    <t xml:space="preserve">CASA 1 </t>
  </si>
  <si>
    <t>APPARTAMENTI</t>
  </si>
  <si>
    <t>UTENTI</t>
  </si>
  <si>
    <t>DATA ARRIVO</t>
  </si>
  <si>
    <t>DATA PARTENZA</t>
  </si>
  <si>
    <t>2025 ACCOGLIENZA</t>
  </si>
  <si>
    <t>CASA</t>
  </si>
  <si>
    <t>Column1</t>
  </si>
  <si>
    <t>START_DATE_MATCH</t>
  </si>
  <si>
    <t>FINAL_DATE_MATCH</t>
  </si>
  <si>
    <t>S_INTERVAL</t>
  </si>
  <si>
    <t>Y</t>
  </si>
  <si>
    <t>S</t>
  </si>
  <si>
    <t>F_INTERVAL</t>
  </si>
  <si>
    <t>F</t>
  </si>
  <si>
    <t>MARCO</t>
  </si>
  <si>
    <t>DANI</t>
  </si>
  <si>
    <t>ALEX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</si>
</sst>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0]dddd\ d"/>
    <numFmt numFmtId="165" formatCode="yyyy\-mm\-dd;@"/>
  </numFmts>
  <fonts count="15" x14ac:knownFonts="1"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8"/>
      <color theme="3"/>
      <name val="Calibri"/>
      <family val="2"/>
    </font>
    <font>
      <sz val="11"/>
      <name val="Calibri"/>
      <family val="2"/>
    </font>
    <font>
      <sz val="11"/>
      <color theme="8" tint="-0.249977111117893"/>
      <name val="Calibri"/>
      <family val="2"/>
    </font>
    <font>
      <sz val="8"/>
      <name val="Aptos Narrow"/>
      <family val="2"/>
      <scheme val="minor"/>
    </font>
    <font>
      <sz val="14"/>
      <color theme="8" tint="-0.249977111117893"/>
      <name val="Calibri"/>
      <family val="2"/>
    </font>
    <font>
      <b/>
      <sz val="28"/>
      <name val="Calibri"/>
      <family val="2"/>
    </font>
    <font>
      <b/>
      <sz val="14"/>
      <color theme="8" tint="-0.249977111117893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2"/>
      <color theme="8" tint="-0.249977111117893"/>
      <name val="Calibri"/>
      <family val="2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7C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DCEF3"/>
        <bgColor indexed="64"/>
      </patternFill>
    </fill>
    <fill>
      <patternFill patternType="solid">
        <fgColor rgb="FFE1F2E9"/>
        <bgColor indexed="64"/>
      </patternFill>
    </fill>
    <fill>
      <patternFill patternType="solid">
        <fgColor rgb="FFF6C9D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3">
    <xf numFmtId="0" fontId="0" fillId="0" borderId="0">
      <alignment wrapText="1"/>
    </xf>
    <xf numFmtId="0" fontId="1" fillId="2" borderId="0" applyNumberFormat="0" applyBorder="0" applyAlignment="0" applyProtection="0"/>
    <xf numFmtId="0" fontId="12" fillId="5" borderId="5" applyNumberFormat="0" applyAlignment="0" applyProtection="0"/>
  </cellStyleXfs>
  <cellXfs count="46">
    <xf numFmtId="0" fontId="0" fillId="0" borderId="0" xfId="0">
      <alignment wrapText="1"/>
    </xf>
    <xf numFmtId="0" fontId="3" fillId="0" borderId="0" xfId="0" applyFont="1">
      <alignment wrapText="1"/>
    </xf>
    <xf numFmtId="0" fontId="4" fillId="0" borderId="0" xfId="0" applyFont="1" applyAlignment="1">
      <alignment horizontal="center" vertical="center" wrapText="1"/>
    </xf>
    <xf numFmtId="0" fontId="3" fillId="0" borderId="1" xfId="0" applyFont="1" applyBorder="1">
      <alignment wrapText="1"/>
    </xf>
    <xf numFmtId="0" fontId="3" fillId="0" borderId="0" xfId="0" applyFont="1" applyAlignment="1">
      <alignment horizontal="center" wrapText="1"/>
    </xf>
    <xf numFmtId="164" fontId="6" fillId="0" borderId="0" xfId="0" applyNumberFormat="1" applyFont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7" fillId="0" borderId="1" xfId="1" applyFont="1" applyFill="1" applyBorder="1" applyAlignment="1" applyProtection="1">
      <alignment horizontal="right" vertical="center" wrapText="1"/>
    </xf>
    <xf numFmtId="0" fontId="8" fillId="0" borderId="1" xfId="0" applyFont="1" applyBorder="1" applyAlignment="1">
      <alignment horizontal="center" vertical="center" wrapText="1"/>
    </xf>
    <xf numFmtId="164" fontId="8" fillId="3" borderId="1" xfId="0" applyNumberFormat="1" applyFont="1" applyFill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9" fillId="0" borderId="0" xfId="0" applyFont="1">
      <alignment wrapText="1"/>
    </xf>
    <xf numFmtId="0" fontId="10" fillId="0" borderId="0" xfId="0" applyFont="1">
      <alignment wrapText="1"/>
    </xf>
    <xf numFmtId="0" fontId="8" fillId="3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10" fillId="0" borderId="1" xfId="0" applyFont="1" applyBorder="1">
      <alignment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left" vertical="top"/>
    </xf>
    <xf numFmtId="0" fontId="11" fillId="4" borderId="1" xfId="0" applyFont="1" applyFill="1" applyBorder="1" applyAlignment="1">
      <alignment horizontal="center" vertical="center" wrapText="1"/>
    </xf>
    <xf numFmtId="0" fontId="12" fillId="5" borderId="5" xfId="2" applyAlignment="1">
      <alignment wrapText="1"/>
    </xf>
    <xf numFmtId="164" fontId="12" fillId="5" borderId="5" xfId="2" applyNumberFormat="1" applyAlignment="1">
      <alignment wrapText="1"/>
    </xf>
    <xf numFmtId="0" fontId="0" fillId="0" borderId="0" xfId="0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12" fillId="5" borderId="10" xfId="2" applyBorder="1" applyAlignment="1">
      <alignment wrapText="1"/>
    </xf>
    <xf numFmtId="0" fontId="12" fillId="8" borderId="9" xfId="2" applyFill="1" applyBorder="1" applyAlignment="1">
      <alignment wrapText="1"/>
    </xf>
    <xf numFmtId="164" fontId="12" fillId="8" borderId="9" xfId="2" applyNumberFormat="1" applyFill="1" applyBorder="1" applyAlignment="1">
      <alignment wrapText="1"/>
    </xf>
    <xf numFmtId="165" fontId="0" fillId="0" borderId="0" xfId="0" applyNumberFormat="1" applyAlignment="1">
      <alignment horizontal="center" vertical="center" wrapText="1"/>
    </xf>
    <xf numFmtId="0" fontId="12" fillId="0" borderId="5" xfId="2" applyFill="1" applyAlignment="1">
      <alignment wrapText="1"/>
    </xf>
    <xf numFmtId="0" fontId="12" fillId="0" borderId="10" xfId="2" applyFill="1" applyBorder="1" applyAlignment="1">
      <alignment wrapText="1"/>
    </xf>
    <xf numFmtId="0" fontId="14" fillId="0" borderId="5" xfId="2" applyFont="1" applyFill="1" applyAlignment="1">
      <alignment horizontal="center" vertical="center" wrapText="1"/>
    </xf>
    <xf numFmtId="0" fontId="14" fillId="9" borderId="5" xfId="2" applyFont="1" applyFill="1" applyAlignment="1">
      <alignment horizontal="center" vertical="center" wrapText="1"/>
    </xf>
    <xf numFmtId="164" fontId="14" fillId="9" borderId="5" xfId="2" applyNumberFormat="1" applyFont="1" applyFill="1" applyAlignment="1">
      <alignment horizontal="center" vertical="center" wrapText="1"/>
    </xf>
    <xf numFmtId="0" fontId="13" fillId="0" borderId="5" xfId="2" applyFont="1" applyFill="1" applyAlignment="1">
      <alignment horizontal="left" vertical="center" wrapText="1"/>
    </xf>
    <xf numFmtId="164" fontId="14" fillId="0" borderId="5" xfId="2" applyNumberFormat="1" applyFont="1" applyFill="1" applyAlignment="1">
      <alignment horizontal="center" vertical="center" wrapText="1"/>
    </xf>
    <xf numFmtId="0" fontId="12" fillId="10" borderId="5" xfId="2" applyFill="1" applyAlignment="1">
      <alignment wrapText="1"/>
    </xf>
    <xf numFmtId="0" fontId="12" fillId="11" borderId="5" xfId="2" applyFill="1" applyAlignment="1">
      <alignment wrapText="1"/>
    </xf>
    <xf numFmtId="0" fontId="12" fillId="12" borderId="5" xfId="2" applyFill="1" applyAlignment="1">
      <alignment wrapText="1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2" fillId="5" borderId="6" xfId="2" applyBorder="1" applyAlignment="1">
      <alignment horizontal="center" wrapText="1"/>
    </xf>
    <xf numFmtId="0" fontId="12" fillId="5" borderId="7" xfId="2" applyBorder="1" applyAlignment="1">
      <alignment horizontal="center" wrapText="1"/>
    </xf>
    <xf numFmtId="0" fontId="12" fillId="5" borderId="8" xfId="2" applyBorder="1" applyAlignment="1">
      <alignment horizontal="center" wrapText="1"/>
    </xf>
  </cellXfs>
  <cellStyles count="3">
    <cellStyle name="Accent1" xfId="1" builtinId="29"/>
    <cellStyle name="Normal" xfId="0" builtinId="0"/>
    <cellStyle name="Output" xfId="2" builtinId="21"/>
  </cellStyles>
  <dxfs count="6">
    <dxf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17/10/relationships/person" Target="persons/person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E32FE4-6CD3-40E3-96E2-FBED5388523D}" name="Table1" displayName="Table1" ref="Y1:AH50" totalsRowShown="0">
  <autoFilter ref="Y1:AH50" xr:uid="{7CE32FE4-6CD3-40E3-96E2-FBED5388523D}"/>
  <tableColumns count="10">
    <tableColumn id="1" xr3:uid="{973560B9-AA90-4E22-9B0F-B2CC2329EC74}" name="CASA">
      <calculatedColumnFormula>IF(S2&lt;&gt;"", S2, "")</calculatedColumnFormula>
    </tableColumn>
    <tableColumn id="2" xr3:uid="{2B1FB8C9-03DD-4123-A2F7-2DE6F87BB7EC}" name="UTENTI">
      <calculatedColumnFormula>IF(T2&lt;&gt;"", T2, "")</calculatedColumnFormula>
    </tableColumn>
    <tableColumn id="3" xr3:uid="{9B8D8F8F-DC5A-4BE1-84DD-76202C722B79}" name="START_DATE_MATCH">
      <calculatedColumnFormula array="1">IF(U2="", "", IFERROR(_xlfn.TEXTJOIN(", ", TRUE, IF((A$1:V$200=U2)*(ROW(A$1:V$200)&lt;&gt;ROW(U2))*(COLUMN(A$1:V$200)&lt;&gt;COLUMN(U2)), ADDRESS(ROW(A$1:V$200), COLUMN(A$1:V$200)), "")), "No Match"))</calculatedColumnFormula>
    </tableColumn>
    <tableColumn id="4" xr3:uid="{A8DBEE83-709A-451F-9169-1FF57E13E3A4}" name="FINAL_DATE_MATCH">
      <calculatedColumnFormula array="1">IF(V2="", "", IFERROR(_xlfn.TEXTJOIN(", ", TRUE, IF((A$1:V$200=V2)*(ROW(A$1:V$200)&lt;&gt;ROW(V2))*(COLUMN(A$1:V$200)&lt;&gt;COLUMN(V2)), ADDRESS(ROW(A$1:V$200), COLUMN(A$1:V$200)), "")), "No Match"))</calculatedColumnFormula>
    </tableColumn>
    <tableColumn id="5" xr3:uid="{15AB9F8E-AB8B-4064-B9DE-5A0DE86D98A6}" name="S_INTERVAL" dataDxfId="5">
      <calculatedColumnFormula>IF(AA2 = "", "", "A[" &amp; MID(AA2, FIND("$", AA2, FIND("$", AA2)+1) + 1, LEN(AA2)) + 1 &amp; ", " &amp; MID(AA2, FIND("$", AA2, FIND("$", AA2)+1) + 1, LEN(AA2)) + 4 &amp; "]")</calculatedColumnFormula>
    </tableColumn>
    <tableColumn id="6" xr3:uid="{78C10064-5335-438F-B22D-6A084F48FD6F}" name="Y" dataDxfId="4">
      <calculatedColumnFormula array="1">IFERROR(_xlfn.TEXTJOIN(", ", TRUE, IF(INDEX(A:A, MID(AC2, FIND("[", AC2) + 1, FIND(",", AC2) - FIND("[", AC2) - 1) * 1):INDEX(A:A, MID(AC2, FIND(",", AC2) + 1, FIND("]", AC2) - FIND(",", AC2) - 1) * 1) = Y2, ROW(INDEX(A:A, MID(AC2, FIND("[", AC2) + 1, FIND(",", AC2) - FIND("[", AC2) - 1) * 1):INDEX(A:A, MID(AC2, FIND(",", AC2) + 1, FIND("]", AC2) - FIND(",", AC2) - 1) * 1)), "")), "")</calculatedColumnFormula>
    </tableColumn>
    <tableColumn id="7" xr3:uid="{5A56F9AE-40DD-43CB-BCB0-3459DE0B65D1}" name="S" dataDxfId="3">
      <calculatedColumnFormula>IF(OR(ISBLANK(AA2), ISBLANK(AD2), ISERROR(FIND("$", AA2))), "", MID(AA2, FIND("$", AA2) + 1, FIND("$", AA2, FIND("$", AA2) + 1) - FIND("$", AA2) - 1) &amp; AD2)</calculatedColumnFormula>
    </tableColumn>
    <tableColumn id="8" xr3:uid="{66E004CF-5712-4E9B-8F9A-37BA15B308C4}" name="F_INTERVAL" dataDxfId="2">
      <calculatedColumnFormula>IF(AB2 = "", "", "A[" &amp; MID(AB2, FIND("$", AB2, FIND("$", AB2) + 1) + 1, LEN(AB2)) + 1 &amp; ", " &amp; MID(AB2, FIND("$", AB2, FIND("$", AB2) + 1) + 1, LEN(AB2)) + 4 &amp; "]")</calculatedColumnFormula>
    </tableColumn>
    <tableColumn id="9" xr3:uid="{5F1BEAE5-4D49-4771-B519-3574F5903B91}" name="Column1" dataDxfId="1">
      <calculatedColumnFormula array="1">IFERROR(_xlfn.TEXTJOIN(", ", TRUE, IF(INDEX(A:A, MID(AF2, FIND("[", AF2) + 1, FIND(",", AF2) - FIND("[", AF2) - 1) * 1):INDEX(A:A, MID(AF2, FIND(",", AF2) + 1, FIND("]", AF2) - FIND(",", AF2) - 1) * 1) = Y2, ROW(INDEX(A:A, MID(AF2, FIND("[", AF2) + 1, FIND(",", AF2) - FIND("[", AF2) - 1) * 1):INDEX(A:A, MID(AF2, FIND(",", AF2) + 1, FIND("]", AF2) - FIND(",", AF2) - 1) * 1)), "")), "")</calculatedColumnFormula>
    </tableColumn>
    <tableColumn id="10" xr3:uid="{EDBB4158-5F9D-4282-A034-54D5ECD77714}" name="F" dataDxfId="0">
      <calculatedColumnFormula>IF(OR(ISBLANK(AB2), ISBLANK(AG2), ISERROR(FIND("$", AB2))), "", MID(AB2, FIND("$", AB2) + 1, FIND("$", AB2, FIND("$", AB2) + 1) - FIND("$", AB2) - 1) &amp; AG2)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ACCCC-A695-41B4-8C93-B7DAFA9F4C0D}">
  <sheetPr codeName="Sheet1">
    <tabColor indexed="41"/>
    <pageSetUpPr fitToPage="1"/>
  </sheetPr>
  <dimension ref="A1:AG12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A7" sqref="A7"/>
    </sheetView>
  </sheetViews>
  <sheetFormatPr defaultColWidth="9.5546875" defaultRowHeight="14.4" x14ac:dyDescent="0.3"/>
  <cols>
    <col min="1" max="1" width="2.88671875" style="1" customWidth="1"/>
    <col min="2" max="2" width="27.21875" style="13" customWidth="1"/>
    <col min="3" max="3" width="18.33203125" style="13" customWidth="1"/>
    <col min="4" max="4" width="17.21875" style="13" customWidth="1"/>
    <col min="5" max="18" width="15.109375" style="13" customWidth="1"/>
    <col min="19" max="32" width="15.109375" style="1" customWidth="1"/>
    <col min="33" max="33" width="13.5546875" style="1" customWidth="1"/>
    <col min="34" max="34" width="2.88671875" style="1" customWidth="1"/>
    <col min="35" max="16384" width="9.5546875" style="1"/>
  </cols>
  <sheetData>
    <row r="1" spans="1:33" ht="45.75" customHeight="1" x14ac:dyDescent="0.3">
      <c r="A1" s="6"/>
      <c r="B1" s="7">
        <v>2024</v>
      </c>
      <c r="C1" s="40" t="s">
        <v>0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2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3" ht="30" customHeight="1" x14ac:dyDescent="0.3">
      <c r="A2" s="3"/>
      <c r="B2" s="8" t="s">
        <v>1</v>
      </c>
      <c r="C2" s="9">
        <v>45292</v>
      </c>
      <c r="D2" s="10">
        <v>45293</v>
      </c>
      <c r="E2" s="10">
        <v>45294</v>
      </c>
      <c r="F2" s="10">
        <v>45295</v>
      </c>
      <c r="G2" s="10">
        <v>45296</v>
      </c>
      <c r="H2" s="9">
        <v>45297</v>
      </c>
      <c r="I2" s="9">
        <v>45298</v>
      </c>
      <c r="J2" s="10">
        <v>45299</v>
      </c>
      <c r="K2" s="10">
        <v>45300</v>
      </c>
      <c r="L2" s="10">
        <v>45301</v>
      </c>
      <c r="M2" s="10">
        <v>45302</v>
      </c>
      <c r="N2" s="10">
        <v>45303</v>
      </c>
      <c r="O2" s="9">
        <v>45304</v>
      </c>
      <c r="P2" s="9">
        <v>45305</v>
      </c>
      <c r="Q2" s="10">
        <v>45306</v>
      </c>
      <c r="R2" s="10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 ht="30" customHeight="1" x14ac:dyDescent="0.3">
      <c r="A3" s="3"/>
      <c r="B3" s="8"/>
      <c r="C3" s="14"/>
      <c r="D3" s="8"/>
      <c r="E3" s="8"/>
      <c r="F3" s="8"/>
      <c r="G3" s="8"/>
      <c r="H3" s="14"/>
      <c r="I3" s="14"/>
      <c r="J3" s="8"/>
      <c r="K3" s="8"/>
      <c r="L3" s="8"/>
      <c r="M3" s="8"/>
      <c r="N3" s="8"/>
      <c r="O3" s="14"/>
      <c r="P3" s="14"/>
      <c r="Q3" s="8"/>
      <c r="R3" s="8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33" ht="30" customHeight="1" x14ac:dyDescent="0.3">
      <c r="A4" s="3"/>
      <c r="B4" s="11" t="s">
        <v>2</v>
      </c>
      <c r="C4" s="14"/>
      <c r="D4" s="8"/>
      <c r="E4" s="8"/>
      <c r="F4" s="8"/>
      <c r="G4" s="8"/>
      <c r="H4" s="14"/>
      <c r="I4" s="14"/>
      <c r="J4" s="8"/>
      <c r="K4" s="8"/>
      <c r="L4" s="8"/>
      <c r="M4" s="8"/>
      <c r="N4" s="8"/>
      <c r="O4" s="14"/>
      <c r="P4" s="14"/>
      <c r="Q4" s="8"/>
      <c r="R4" s="8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spans="1:33" ht="30" customHeight="1" x14ac:dyDescent="0.3">
      <c r="A5" s="3"/>
      <c r="B5" s="11" t="s">
        <v>3</v>
      </c>
      <c r="C5" s="14"/>
      <c r="D5" s="8"/>
      <c r="E5" s="8"/>
      <c r="F5" s="8"/>
      <c r="G5" s="8"/>
      <c r="H5" s="14"/>
      <c r="I5" s="14"/>
      <c r="J5" s="8"/>
      <c r="K5" s="8"/>
      <c r="L5" s="8"/>
      <c r="M5" s="8"/>
      <c r="N5" s="8"/>
      <c r="O5" s="14"/>
      <c r="P5" s="14"/>
      <c r="Q5" s="8"/>
      <c r="R5" s="8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spans="1:33" ht="30" customHeight="1" x14ac:dyDescent="0.3">
      <c r="A6" s="3"/>
      <c r="B6" s="11" t="s">
        <v>4</v>
      </c>
      <c r="C6" s="14"/>
      <c r="D6" s="8"/>
      <c r="E6" s="8"/>
      <c r="F6" s="8"/>
      <c r="G6" s="8"/>
      <c r="H6" s="14"/>
      <c r="I6" s="14"/>
      <c r="J6" s="8"/>
      <c r="K6" s="8"/>
      <c r="L6" s="8"/>
      <c r="M6" s="8"/>
      <c r="N6" s="8"/>
      <c r="O6" s="14"/>
      <c r="P6" s="14"/>
      <c r="Q6" s="8"/>
      <c r="R6" s="8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3" ht="30" customHeight="1" x14ac:dyDescent="0.3">
      <c r="A7" s="3"/>
      <c r="B7" s="11" t="s">
        <v>5</v>
      </c>
      <c r="C7" s="14"/>
      <c r="D7" s="8"/>
      <c r="E7" s="8"/>
      <c r="F7" s="8"/>
      <c r="G7" s="8"/>
      <c r="H7" s="14"/>
      <c r="I7" s="14"/>
      <c r="J7" s="8"/>
      <c r="K7" s="8"/>
      <c r="L7" s="8"/>
      <c r="M7" s="8"/>
      <c r="N7" s="8"/>
      <c r="O7" s="14"/>
      <c r="P7" s="14"/>
      <c r="Q7" s="8"/>
      <c r="R7" s="8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</row>
    <row r="8" spans="1:33" ht="30" customHeight="1" x14ac:dyDescent="0.3">
      <c r="A8" s="3"/>
      <c r="B8" s="8" t="s">
        <v>1</v>
      </c>
      <c r="C8" s="10">
        <v>45307</v>
      </c>
      <c r="D8" s="10">
        <v>45308</v>
      </c>
      <c r="E8" s="10">
        <v>45309</v>
      </c>
      <c r="F8" s="10">
        <v>45310</v>
      </c>
      <c r="G8" s="9">
        <v>45311</v>
      </c>
      <c r="H8" s="9">
        <v>45312</v>
      </c>
      <c r="I8" s="10">
        <v>45313</v>
      </c>
      <c r="J8" s="10">
        <v>45314</v>
      </c>
      <c r="K8" s="10">
        <v>45315</v>
      </c>
      <c r="L8" s="10">
        <v>45316</v>
      </c>
      <c r="M8" s="10">
        <v>45317</v>
      </c>
      <c r="N8" s="9">
        <v>45318</v>
      </c>
      <c r="O8" s="9">
        <v>45319</v>
      </c>
      <c r="P8" s="10">
        <v>45320</v>
      </c>
      <c r="Q8" s="10">
        <v>45321</v>
      </c>
      <c r="R8" s="10">
        <v>45322</v>
      </c>
      <c r="S8" s="5"/>
    </row>
    <row r="9" spans="1:33" ht="30" customHeight="1" x14ac:dyDescent="0.3">
      <c r="A9" s="3"/>
      <c r="B9" s="11" t="s">
        <v>2</v>
      </c>
      <c r="C9" s="8"/>
      <c r="D9" s="8"/>
      <c r="E9" s="8"/>
      <c r="F9" s="8"/>
      <c r="G9" s="14"/>
      <c r="H9" s="14"/>
      <c r="I9" s="8"/>
      <c r="J9" s="8"/>
      <c r="K9" s="8"/>
      <c r="L9" s="8"/>
      <c r="M9" s="8"/>
      <c r="N9" s="14"/>
      <c r="O9" s="14"/>
      <c r="P9" s="8"/>
      <c r="Q9" s="8"/>
      <c r="R9" s="8"/>
    </row>
    <row r="10" spans="1:33" ht="30" customHeight="1" x14ac:dyDescent="0.3">
      <c r="A10" s="3"/>
      <c r="B10" s="11" t="s">
        <v>3</v>
      </c>
      <c r="C10" s="8"/>
      <c r="D10" s="8"/>
      <c r="E10" s="8"/>
      <c r="F10" s="8"/>
      <c r="G10" s="14"/>
      <c r="H10" s="14"/>
      <c r="I10" s="8"/>
      <c r="J10" s="8"/>
      <c r="K10" s="8"/>
      <c r="L10" s="8"/>
      <c r="M10" s="8"/>
      <c r="N10" s="14"/>
      <c r="O10" s="14"/>
      <c r="P10" s="8"/>
      <c r="Q10" s="8"/>
      <c r="R10" s="8"/>
    </row>
    <row r="11" spans="1:33" ht="30" customHeight="1" x14ac:dyDescent="0.3">
      <c r="A11" s="3"/>
      <c r="B11" s="11" t="s">
        <v>4</v>
      </c>
      <c r="C11" s="8"/>
      <c r="D11" s="8"/>
      <c r="E11" s="8"/>
      <c r="F11" s="8"/>
      <c r="G11" s="14"/>
      <c r="H11" s="14"/>
      <c r="I11" s="8"/>
      <c r="J11" s="8"/>
      <c r="K11" s="8"/>
      <c r="L11" s="8"/>
      <c r="M11" s="8"/>
      <c r="N11" s="14"/>
      <c r="O11" s="14"/>
      <c r="P11" s="8"/>
      <c r="Q11" s="8"/>
      <c r="R11" s="8"/>
    </row>
    <row r="12" spans="1:33" ht="30" customHeight="1" x14ac:dyDescent="0.3">
      <c r="A12" s="3"/>
      <c r="B12" s="11" t="s">
        <v>5</v>
      </c>
      <c r="C12" s="8"/>
      <c r="D12" s="8"/>
      <c r="E12" s="8"/>
      <c r="F12" s="8"/>
      <c r="G12" s="14"/>
      <c r="H12" s="14"/>
      <c r="I12" s="8"/>
      <c r="J12" s="8"/>
      <c r="K12" s="8"/>
      <c r="L12" s="8"/>
      <c r="M12" s="8"/>
      <c r="N12" s="14"/>
      <c r="O12" s="14"/>
      <c r="P12" s="8"/>
      <c r="Q12" s="8"/>
      <c r="R12" s="8"/>
    </row>
    <row r="13" spans="1:33" ht="30" customHeight="1" x14ac:dyDescent="0.3">
      <c r="A13" s="3"/>
      <c r="B13" s="8" t="s">
        <v>6</v>
      </c>
      <c r="C13" s="10">
        <v>45323</v>
      </c>
      <c r="D13" s="10">
        <v>45324</v>
      </c>
      <c r="E13" s="9">
        <v>45325</v>
      </c>
      <c r="F13" s="9">
        <v>45326</v>
      </c>
      <c r="G13" s="10">
        <v>45327</v>
      </c>
      <c r="H13" s="10">
        <v>45328</v>
      </c>
      <c r="I13" s="10">
        <v>45329</v>
      </c>
      <c r="J13" s="10">
        <v>45330</v>
      </c>
      <c r="K13" s="10">
        <v>45331</v>
      </c>
      <c r="L13" s="9">
        <v>45332</v>
      </c>
      <c r="M13" s="9">
        <v>45333</v>
      </c>
      <c r="N13" s="10">
        <v>45334</v>
      </c>
      <c r="O13" s="10">
        <v>45335</v>
      </c>
      <c r="P13" s="10">
        <v>45336</v>
      </c>
      <c r="Q13" s="10">
        <v>45337</v>
      </c>
      <c r="R13" s="10"/>
    </row>
    <row r="14" spans="1:33" ht="30" customHeight="1" x14ac:dyDescent="0.3">
      <c r="A14" s="3"/>
      <c r="B14" s="11" t="s">
        <v>2</v>
      </c>
      <c r="C14" s="8"/>
      <c r="D14" s="8"/>
      <c r="E14" s="14"/>
      <c r="F14" s="14"/>
      <c r="G14" s="8"/>
      <c r="H14" s="8"/>
      <c r="I14" s="8"/>
      <c r="J14" s="8"/>
      <c r="K14" s="8"/>
      <c r="L14" s="14"/>
      <c r="M14" s="14"/>
      <c r="N14" s="8"/>
      <c r="O14" s="8"/>
      <c r="P14" s="8"/>
      <c r="Q14" s="8"/>
      <c r="R14" s="8"/>
    </row>
    <row r="15" spans="1:33" ht="30" customHeight="1" x14ac:dyDescent="0.3">
      <c r="A15" s="3"/>
      <c r="B15" s="11" t="s">
        <v>3</v>
      </c>
      <c r="C15" s="8"/>
      <c r="D15" s="8"/>
      <c r="E15" s="14"/>
      <c r="F15" s="14"/>
      <c r="G15" s="8"/>
      <c r="H15" s="8"/>
      <c r="I15" s="8"/>
      <c r="J15" s="8"/>
      <c r="K15" s="8"/>
      <c r="L15" s="14"/>
      <c r="M15" s="14"/>
      <c r="N15" s="8"/>
      <c r="O15" s="8"/>
      <c r="P15" s="8"/>
      <c r="Q15" s="8"/>
      <c r="R15" s="8"/>
    </row>
    <row r="16" spans="1:33" ht="30" customHeight="1" x14ac:dyDescent="0.3">
      <c r="A16" s="3"/>
      <c r="B16" s="11" t="s">
        <v>4</v>
      </c>
      <c r="C16" s="8"/>
      <c r="D16" s="8"/>
      <c r="E16" s="14"/>
      <c r="F16" s="14"/>
      <c r="G16" s="8"/>
      <c r="H16" s="8"/>
      <c r="I16" s="8"/>
      <c r="J16" s="8"/>
      <c r="K16" s="8"/>
      <c r="L16" s="14"/>
      <c r="M16" s="14"/>
      <c r="N16" s="8"/>
      <c r="O16" s="8"/>
      <c r="P16" s="8"/>
      <c r="Q16" s="8"/>
      <c r="R16" s="8"/>
    </row>
    <row r="17" spans="1:33" ht="24" customHeight="1" x14ac:dyDescent="0.3">
      <c r="A17" s="3"/>
      <c r="B17" s="11" t="s">
        <v>5</v>
      </c>
      <c r="C17" s="8"/>
      <c r="D17" s="8"/>
      <c r="E17" s="14"/>
      <c r="F17" s="14"/>
      <c r="G17" s="8"/>
      <c r="H17" s="8"/>
      <c r="I17" s="8"/>
      <c r="J17" s="8"/>
      <c r="K17" s="8"/>
      <c r="L17" s="14"/>
      <c r="M17" s="14"/>
      <c r="N17" s="8"/>
      <c r="O17" s="8"/>
      <c r="P17" s="8"/>
      <c r="Q17" s="8"/>
      <c r="R17" s="8"/>
    </row>
    <row r="18" spans="1:33" ht="25.5" customHeight="1" x14ac:dyDescent="0.3">
      <c r="A18" s="3"/>
      <c r="B18" s="8" t="s">
        <v>6</v>
      </c>
      <c r="C18" s="10">
        <v>45338</v>
      </c>
      <c r="D18" s="9">
        <v>45339</v>
      </c>
      <c r="E18" s="9">
        <v>45340</v>
      </c>
      <c r="F18" s="10">
        <v>45341</v>
      </c>
      <c r="G18" s="10">
        <v>45342</v>
      </c>
      <c r="H18" s="10">
        <v>45343</v>
      </c>
      <c r="I18" s="10">
        <v>45344</v>
      </c>
      <c r="J18" s="10">
        <v>45345</v>
      </c>
      <c r="K18" s="9">
        <v>45346</v>
      </c>
      <c r="L18" s="9">
        <v>45347</v>
      </c>
      <c r="M18" s="10">
        <v>45348</v>
      </c>
      <c r="N18" s="10">
        <v>45349</v>
      </c>
      <c r="O18" s="10">
        <v>45350</v>
      </c>
      <c r="P18" s="10">
        <v>45351</v>
      </c>
      <c r="Q18" s="10"/>
      <c r="R18" s="8"/>
    </row>
    <row r="19" spans="1:33" ht="29.25" customHeight="1" x14ac:dyDescent="0.3">
      <c r="A19" s="3"/>
      <c r="B19" s="11" t="s">
        <v>2</v>
      </c>
      <c r="C19" s="8"/>
      <c r="D19" s="14"/>
      <c r="E19" s="14"/>
      <c r="F19" s="8"/>
      <c r="G19" s="8"/>
      <c r="H19" s="8"/>
      <c r="I19" s="8"/>
      <c r="J19" s="8"/>
      <c r="K19" s="14"/>
      <c r="L19" s="14"/>
      <c r="M19" s="8"/>
      <c r="N19" s="8"/>
      <c r="O19" s="8"/>
      <c r="P19" s="8"/>
      <c r="Q19" s="8"/>
      <c r="R19" s="8"/>
    </row>
    <row r="20" spans="1:33" ht="29.25" customHeight="1" x14ac:dyDescent="0.3">
      <c r="A20" s="3"/>
      <c r="B20" s="11" t="s">
        <v>3</v>
      </c>
      <c r="C20" s="8"/>
      <c r="D20" s="14"/>
      <c r="E20" s="14"/>
      <c r="F20" s="8"/>
      <c r="G20" s="8"/>
      <c r="H20" s="8"/>
      <c r="I20" s="8"/>
      <c r="J20" s="8"/>
      <c r="K20" s="14"/>
      <c r="L20" s="14"/>
      <c r="M20" s="8"/>
      <c r="N20" s="8"/>
      <c r="O20" s="8"/>
      <c r="P20" s="8"/>
      <c r="Q20" s="8"/>
      <c r="R20" s="8"/>
    </row>
    <row r="21" spans="1:33" ht="29.25" customHeight="1" x14ac:dyDescent="0.3">
      <c r="A21" s="3"/>
      <c r="B21" s="11" t="s">
        <v>4</v>
      </c>
      <c r="C21" s="8"/>
      <c r="D21" s="14"/>
      <c r="E21" s="14"/>
      <c r="F21" s="8"/>
      <c r="G21" s="8"/>
      <c r="H21" s="8"/>
      <c r="I21" s="8"/>
      <c r="J21" s="8"/>
      <c r="K21" s="14"/>
      <c r="L21" s="14"/>
      <c r="M21" s="8"/>
      <c r="N21" s="8"/>
      <c r="O21" s="8"/>
      <c r="P21" s="8"/>
      <c r="Q21" s="8"/>
      <c r="R21" s="8"/>
    </row>
    <row r="22" spans="1:33" ht="37.5" customHeight="1" x14ac:dyDescent="0.3">
      <c r="A22" s="3"/>
      <c r="B22" s="11" t="s">
        <v>5</v>
      </c>
      <c r="C22" s="8"/>
      <c r="D22" s="14"/>
      <c r="E22" s="14"/>
      <c r="F22" s="8"/>
      <c r="G22" s="8"/>
      <c r="H22" s="8"/>
      <c r="I22" s="8"/>
      <c r="J22" s="8"/>
      <c r="K22" s="14"/>
      <c r="L22" s="14"/>
      <c r="M22" s="8"/>
      <c r="N22" s="8"/>
      <c r="O22" s="8"/>
      <c r="P22" s="8"/>
      <c r="Q22" s="8"/>
      <c r="R22" s="8"/>
    </row>
    <row r="23" spans="1:33" ht="25.5" customHeight="1" x14ac:dyDescent="0.3">
      <c r="A23" s="3"/>
      <c r="B23" s="8" t="s">
        <v>7</v>
      </c>
      <c r="C23" s="10">
        <v>45352</v>
      </c>
      <c r="D23" s="9">
        <v>45353</v>
      </c>
      <c r="E23" s="9">
        <v>45354</v>
      </c>
      <c r="F23" s="10">
        <v>45355</v>
      </c>
      <c r="G23" s="10">
        <v>45356</v>
      </c>
      <c r="H23" s="10">
        <v>45357</v>
      </c>
      <c r="I23" s="10">
        <v>45358</v>
      </c>
      <c r="J23" s="10">
        <v>45359</v>
      </c>
      <c r="K23" s="9">
        <v>45360</v>
      </c>
      <c r="L23" s="9">
        <v>45361</v>
      </c>
      <c r="M23" s="10">
        <v>45362</v>
      </c>
      <c r="N23" s="10">
        <v>45363</v>
      </c>
      <c r="O23" s="10">
        <v>45364</v>
      </c>
      <c r="P23" s="10">
        <v>45365</v>
      </c>
      <c r="Q23" s="10">
        <v>45366</v>
      </c>
      <c r="R23" s="10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</row>
    <row r="24" spans="1:33" ht="30" customHeight="1" x14ac:dyDescent="0.3">
      <c r="A24" s="3"/>
      <c r="B24" s="11" t="s">
        <v>2</v>
      </c>
      <c r="C24" s="8"/>
      <c r="D24" s="14"/>
      <c r="E24" s="14"/>
      <c r="F24" s="8"/>
      <c r="G24" s="8"/>
      <c r="H24" s="8"/>
      <c r="I24" s="8"/>
      <c r="J24" s="8"/>
      <c r="K24" s="14"/>
      <c r="L24" s="14"/>
      <c r="M24" s="8"/>
      <c r="N24" s="8"/>
      <c r="O24" s="8"/>
      <c r="P24" s="8"/>
      <c r="Q24" s="8"/>
      <c r="R24" s="8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</row>
    <row r="25" spans="1:33" ht="30" customHeight="1" x14ac:dyDescent="0.3">
      <c r="A25" s="3"/>
      <c r="B25" s="11" t="s">
        <v>3</v>
      </c>
      <c r="C25" s="8"/>
      <c r="D25" s="14"/>
      <c r="E25" s="14"/>
      <c r="F25" s="8"/>
      <c r="G25" s="8"/>
      <c r="H25" s="8"/>
      <c r="I25" s="8"/>
      <c r="J25" s="8"/>
      <c r="K25" s="14"/>
      <c r="L25" s="14"/>
      <c r="M25" s="8"/>
      <c r="N25" s="8"/>
      <c r="O25" s="8"/>
      <c r="P25" s="8"/>
      <c r="Q25" s="8"/>
      <c r="R25" s="8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</row>
    <row r="26" spans="1:33" ht="30" customHeight="1" x14ac:dyDescent="0.3">
      <c r="A26" s="3"/>
      <c r="B26" s="11" t="s">
        <v>4</v>
      </c>
      <c r="C26" s="8"/>
      <c r="D26" s="14"/>
      <c r="E26" s="14"/>
      <c r="F26" s="8"/>
      <c r="G26" s="8"/>
      <c r="H26" s="8"/>
      <c r="I26" s="8"/>
      <c r="J26" s="8"/>
      <c r="K26" s="14"/>
      <c r="L26" s="14"/>
      <c r="M26" s="8"/>
      <c r="N26" s="8"/>
      <c r="O26" s="8"/>
      <c r="P26" s="8"/>
      <c r="Q26" s="8"/>
      <c r="R26" s="8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</row>
    <row r="27" spans="1:33" ht="30" customHeight="1" x14ac:dyDescent="0.3">
      <c r="A27" s="3"/>
      <c r="B27" s="11" t="s">
        <v>5</v>
      </c>
      <c r="C27" s="8"/>
      <c r="D27" s="14"/>
      <c r="E27" s="14"/>
      <c r="F27" s="8"/>
      <c r="G27" s="8"/>
      <c r="H27" s="8"/>
      <c r="I27" s="8"/>
      <c r="J27" s="8"/>
      <c r="K27" s="14"/>
      <c r="L27" s="14"/>
      <c r="M27" s="8"/>
      <c r="N27" s="8"/>
      <c r="O27" s="8"/>
      <c r="P27" s="8"/>
      <c r="Q27" s="8"/>
      <c r="R27" s="8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</row>
    <row r="28" spans="1:33" ht="22.5" customHeight="1" x14ac:dyDescent="0.3">
      <c r="A28" s="3"/>
      <c r="B28" s="8" t="s">
        <v>7</v>
      </c>
      <c r="C28" s="9">
        <v>45367</v>
      </c>
      <c r="D28" s="9">
        <v>45368</v>
      </c>
      <c r="E28" s="10">
        <v>45369</v>
      </c>
      <c r="F28" s="10">
        <v>45370</v>
      </c>
      <c r="G28" s="10">
        <v>45371</v>
      </c>
      <c r="H28" s="10">
        <v>45372</v>
      </c>
      <c r="I28" s="10">
        <v>45373</v>
      </c>
      <c r="J28" s="9">
        <v>45374</v>
      </c>
      <c r="K28" s="9">
        <v>45375</v>
      </c>
      <c r="L28" s="10">
        <v>45376</v>
      </c>
      <c r="M28" s="10">
        <v>45377</v>
      </c>
      <c r="N28" s="10">
        <v>45378</v>
      </c>
      <c r="O28" s="10">
        <v>45379</v>
      </c>
      <c r="P28" s="10">
        <v>45380</v>
      </c>
      <c r="Q28" s="9">
        <v>45381</v>
      </c>
      <c r="R28" s="9">
        <v>45382</v>
      </c>
      <c r="S28" s="5"/>
    </row>
    <row r="29" spans="1:33" ht="30" customHeight="1" x14ac:dyDescent="0.3">
      <c r="A29" s="3"/>
      <c r="B29" s="11" t="s">
        <v>2</v>
      </c>
      <c r="C29" s="14"/>
      <c r="D29" s="14"/>
      <c r="E29" s="8"/>
      <c r="F29" s="8"/>
      <c r="G29" s="8"/>
      <c r="H29" s="8"/>
      <c r="I29" s="8"/>
      <c r="J29" s="14"/>
      <c r="K29" s="14"/>
      <c r="L29" s="8"/>
      <c r="M29" s="8"/>
      <c r="N29" s="8"/>
      <c r="O29" s="8"/>
      <c r="P29" s="8"/>
      <c r="Q29" s="14"/>
      <c r="R29" s="14"/>
    </row>
    <row r="30" spans="1:33" ht="30" customHeight="1" x14ac:dyDescent="0.3">
      <c r="A30" s="3"/>
      <c r="B30" s="11" t="s">
        <v>3</v>
      </c>
      <c r="C30" s="14"/>
      <c r="D30" s="14"/>
      <c r="E30" s="8"/>
      <c r="F30" s="8"/>
      <c r="G30" s="8"/>
      <c r="H30" s="8"/>
      <c r="I30" s="8"/>
      <c r="J30" s="14"/>
      <c r="K30" s="14"/>
      <c r="L30" s="8"/>
      <c r="M30" s="8"/>
      <c r="N30" s="8"/>
      <c r="O30" s="8"/>
      <c r="P30" s="8"/>
      <c r="Q30" s="14"/>
      <c r="R30" s="14"/>
    </row>
    <row r="31" spans="1:33" ht="30" customHeight="1" x14ac:dyDescent="0.3">
      <c r="A31" s="3"/>
      <c r="B31" s="11" t="s">
        <v>4</v>
      </c>
      <c r="C31" s="14"/>
      <c r="D31" s="14"/>
      <c r="E31" s="8"/>
      <c r="F31" s="8"/>
      <c r="G31" s="8"/>
      <c r="H31" s="8"/>
      <c r="I31" s="8"/>
      <c r="J31" s="14"/>
      <c r="K31" s="14"/>
      <c r="L31" s="8"/>
      <c r="M31" s="8"/>
      <c r="N31" s="8"/>
      <c r="O31" s="8"/>
      <c r="P31" s="8"/>
      <c r="Q31" s="14"/>
      <c r="R31" s="14"/>
    </row>
    <row r="32" spans="1:33" ht="30" customHeight="1" x14ac:dyDescent="0.3">
      <c r="A32" s="3"/>
      <c r="B32" s="11" t="s">
        <v>5</v>
      </c>
      <c r="C32" s="14"/>
      <c r="D32" s="14"/>
      <c r="E32" s="8"/>
      <c r="F32" s="8"/>
      <c r="G32" s="8"/>
      <c r="H32" s="8"/>
      <c r="I32" s="8"/>
      <c r="J32" s="14"/>
      <c r="K32" s="14"/>
      <c r="L32" s="8"/>
      <c r="M32" s="8"/>
      <c r="N32" s="8"/>
      <c r="O32" s="8"/>
      <c r="P32" s="8"/>
      <c r="Q32" s="14"/>
      <c r="R32" s="14"/>
    </row>
    <row r="33" spans="1:33" ht="25.5" customHeight="1" x14ac:dyDescent="0.3">
      <c r="A33" s="3"/>
      <c r="B33" s="8" t="s">
        <v>8</v>
      </c>
      <c r="C33" s="9">
        <v>45383</v>
      </c>
      <c r="D33" s="10">
        <v>45384</v>
      </c>
      <c r="E33" s="10">
        <v>45385</v>
      </c>
      <c r="F33" s="10">
        <v>45386</v>
      </c>
      <c r="G33" s="10">
        <v>45387</v>
      </c>
      <c r="H33" s="9">
        <v>45388</v>
      </c>
      <c r="I33" s="9">
        <v>45389</v>
      </c>
      <c r="J33" s="10">
        <v>45390</v>
      </c>
      <c r="K33" s="10">
        <v>45391</v>
      </c>
      <c r="L33" s="10">
        <v>45392</v>
      </c>
      <c r="M33" s="10">
        <v>45393</v>
      </c>
      <c r="N33" s="10">
        <v>45394</v>
      </c>
      <c r="O33" s="9">
        <v>45395</v>
      </c>
      <c r="P33" s="9">
        <v>45396</v>
      </c>
      <c r="Q33" s="10">
        <v>45397</v>
      </c>
      <c r="R33" s="10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</row>
    <row r="34" spans="1:33" ht="30" customHeight="1" x14ac:dyDescent="0.3">
      <c r="A34" s="3"/>
      <c r="B34" s="11" t="s">
        <v>2</v>
      </c>
      <c r="C34" s="14"/>
      <c r="D34" s="8"/>
      <c r="E34" s="8"/>
      <c r="F34" s="8"/>
      <c r="G34" s="8"/>
      <c r="H34" s="14"/>
      <c r="I34" s="14"/>
      <c r="J34" s="8"/>
      <c r="K34" s="8"/>
      <c r="L34" s="8"/>
      <c r="M34" s="8"/>
      <c r="N34" s="8"/>
      <c r="O34" s="14"/>
      <c r="P34" s="14"/>
      <c r="Q34" s="8"/>
      <c r="R34" s="8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</row>
    <row r="35" spans="1:33" ht="30" customHeight="1" x14ac:dyDescent="0.3">
      <c r="A35" s="3"/>
      <c r="B35" s="11" t="s">
        <v>3</v>
      </c>
      <c r="C35" s="14"/>
      <c r="D35" s="8"/>
      <c r="E35" s="8"/>
      <c r="F35" s="8"/>
      <c r="G35" s="8"/>
      <c r="H35" s="14"/>
      <c r="I35" s="14"/>
      <c r="J35" s="8"/>
      <c r="K35" s="8"/>
      <c r="L35" s="8"/>
      <c r="M35" s="8"/>
      <c r="N35" s="8"/>
      <c r="O35" s="14"/>
      <c r="P35" s="14"/>
      <c r="Q35" s="8"/>
      <c r="R35" s="8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</row>
    <row r="36" spans="1:33" ht="30" customHeight="1" x14ac:dyDescent="0.3">
      <c r="A36" s="3"/>
      <c r="B36" s="11" t="s">
        <v>4</v>
      </c>
      <c r="C36" s="14"/>
      <c r="D36" s="8"/>
      <c r="E36" s="8"/>
      <c r="F36" s="8"/>
      <c r="G36" s="8"/>
      <c r="H36" s="14"/>
      <c r="I36" s="14"/>
      <c r="J36" s="8"/>
      <c r="K36" s="8"/>
      <c r="L36" s="8"/>
      <c r="M36" s="8"/>
      <c r="N36" s="8"/>
      <c r="O36" s="14"/>
      <c r="P36" s="14"/>
      <c r="Q36" s="8"/>
      <c r="R36" s="8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</row>
    <row r="37" spans="1:33" ht="30" customHeight="1" x14ac:dyDescent="0.3">
      <c r="A37" s="3"/>
      <c r="B37" s="11" t="s">
        <v>5</v>
      </c>
      <c r="C37" s="14"/>
      <c r="D37" s="8"/>
      <c r="E37" s="8"/>
      <c r="F37" s="8"/>
      <c r="G37" s="8"/>
      <c r="H37" s="14"/>
      <c r="I37" s="14"/>
      <c r="J37" s="8"/>
      <c r="K37" s="8"/>
      <c r="L37" s="8"/>
      <c r="M37" s="8"/>
      <c r="N37" s="8"/>
      <c r="O37" s="14"/>
      <c r="P37" s="14"/>
      <c r="Q37" s="8"/>
      <c r="R37" s="8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</row>
    <row r="38" spans="1:33" ht="22.5" customHeight="1" x14ac:dyDescent="0.3">
      <c r="A38" s="3"/>
      <c r="B38" s="8" t="s">
        <v>8</v>
      </c>
      <c r="C38" s="10">
        <v>45398</v>
      </c>
      <c r="D38" s="10">
        <v>45399</v>
      </c>
      <c r="E38" s="10">
        <v>45400</v>
      </c>
      <c r="F38" s="10">
        <v>45401</v>
      </c>
      <c r="G38" s="9">
        <v>45402</v>
      </c>
      <c r="H38" s="9">
        <v>45403</v>
      </c>
      <c r="I38" s="10">
        <v>45404</v>
      </c>
      <c r="J38" s="10">
        <v>45405</v>
      </c>
      <c r="K38" s="10">
        <v>45406</v>
      </c>
      <c r="L38" s="9">
        <v>45407</v>
      </c>
      <c r="M38" s="10">
        <v>45408</v>
      </c>
      <c r="N38" s="9">
        <v>45409</v>
      </c>
      <c r="O38" s="9">
        <v>45410</v>
      </c>
      <c r="P38" s="10">
        <v>45411</v>
      </c>
      <c r="Q38" s="10">
        <v>45412</v>
      </c>
      <c r="R38" s="10"/>
    </row>
    <row r="39" spans="1:33" ht="30" customHeight="1" x14ac:dyDescent="0.3">
      <c r="A39" s="3"/>
      <c r="B39" s="11" t="s">
        <v>2</v>
      </c>
      <c r="C39" s="15"/>
      <c r="D39" s="15"/>
      <c r="E39" s="15"/>
      <c r="F39" s="15"/>
      <c r="G39" s="16"/>
      <c r="H39" s="16"/>
      <c r="I39" s="15"/>
      <c r="J39" s="15"/>
      <c r="K39" s="15"/>
      <c r="L39" s="16"/>
      <c r="M39" s="15"/>
      <c r="N39" s="16"/>
      <c r="O39" s="16"/>
      <c r="P39" s="15"/>
      <c r="Q39" s="8"/>
      <c r="R39" s="8"/>
    </row>
    <row r="40" spans="1:33" ht="30" customHeight="1" x14ac:dyDescent="0.3">
      <c r="A40" s="3"/>
      <c r="B40" s="11" t="s">
        <v>3</v>
      </c>
      <c r="C40" s="8"/>
      <c r="D40" s="8"/>
      <c r="E40" s="8"/>
      <c r="F40" s="8"/>
      <c r="G40" s="14"/>
      <c r="H40" s="14"/>
      <c r="I40" s="8"/>
      <c r="J40" s="8"/>
      <c r="K40" s="8"/>
      <c r="L40" s="14"/>
      <c r="M40" s="8"/>
      <c r="N40" s="14"/>
      <c r="O40" s="14"/>
      <c r="P40" s="8"/>
      <c r="Q40" s="8"/>
      <c r="R40" s="8"/>
    </row>
    <row r="41" spans="1:33" ht="30" customHeight="1" x14ac:dyDescent="0.3">
      <c r="A41" s="3"/>
      <c r="B41" s="11" t="s">
        <v>4</v>
      </c>
      <c r="C41" s="8"/>
      <c r="D41" s="8"/>
      <c r="E41" s="8"/>
      <c r="F41" s="8"/>
      <c r="G41" s="14"/>
      <c r="H41" s="14"/>
      <c r="I41" s="8"/>
      <c r="J41" s="8"/>
      <c r="K41" s="8"/>
      <c r="L41" s="14"/>
      <c r="M41" s="8"/>
      <c r="N41" s="14"/>
      <c r="O41" s="14"/>
      <c r="P41" s="8"/>
      <c r="Q41" s="8"/>
      <c r="R41" s="8"/>
    </row>
    <row r="42" spans="1:33" ht="30" customHeight="1" x14ac:dyDescent="0.3">
      <c r="A42" s="3"/>
      <c r="B42" s="11" t="s">
        <v>5</v>
      </c>
      <c r="C42" s="8"/>
      <c r="D42" s="8"/>
      <c r="E42" s="8"/>
      <c r="F42" s="8"/>
      <c r="G42" s="14"/>
      <c r="H42" s="14"/>
      <c r="I42" s="8"/>
      <c r="J42" s="8"/>
      <c r="K42" s="8"/>
      <c r="L42" s="14"/>
      <c r="M42" s="8"/>
      <c r="N42" s="14"/>
      <c r="O42" s="14"/>
      <c r="P42" s="8"/>
      <c r="Q42" s="8"/>
      <c r="R42" s="8"/>
    </row>
    <row r="43" spans="1:33" ht="25.5" customHeight="1" x14ac:dyDescent="0.3">
      <c r="A43" s="3"/>
      <c r="B43" s="8" t="s">
        <v>9</v>
      </c>
      <c r="C43" s="9">
        <v>45413</v>
      </c>
      <c r="D43" s="10">
        <v>45414</v>
      </c>
      <c r="E43" s="10">
        <v>45415</v>
      </c>
      <c r="F43" s="9">
        <v>45416</v>
      </c>
      <c r="G43" s="9">
        <v>45417</v>
      </c>
      <c r="H43" s="10">
        <v>45418</v>
      </c>
      <c r="I43" s="10">
        <v>45419</v>
      </c>
      <c r="J43" s="10">
        <v>45420</v>
      </c>
      <c r="K43" s="10">
        <v>45421</v>
      </c>
      <c r="L43" s="10">
        <v>45422</v>
      </c>
      <c r="M43" s="9">
        <v>45423</v>
      </c>
      <c r="N43" s="9">
        <v>45424</v>
      </c>
      <c r="O43" s="10">
        <v>45425</v>
      </c>
      <c r="P43" s="10">
        <v>45426</v>
      </c>
      <c r="Q43" s="10">
        <v>45427</v>
      </c>
      <c r="R43" s="10">
        <v>45428</v>
      </c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</row>
    <row r="44" spans="1:33" ht="30" customHeight="1" x14ac:dyDescent="0.3">
      <c r="A44" s="3"/>
      <c r="B44" s="11" t="s">
        <v>2</v>
      </c>
      <c r="C44" s="16"/>
      <c r="D44" s="15"/>
      <c r="E44" s="15"/>
      <c r="F44" s="16"/>
      <c r="G44" s="16"/>
      <c r="H44" s="15"/>
      <c r="I44" s="15"/>
      <c r="J44" s="15"/>
      <c r="K44" s="15"/>
      <c r="L44" s="15"/>
      <c r="M44" s="16"/>
      <c r="N44" s="16"/>
      <c r="O44" s="15"/>
      <c r="P44" s="15"/>
      <c r="Q44" s="15"/>
      <c r="R44" s="15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1:33" ht="30" customHeight="1" x14ac:dyDescent="0.3">
      <c r="A45" s="3"/>
      <c r="B45" s="11" t="s">
        <v>3</v>
      </c>
      <c r="C45" s="14"/>
      <c r="D45" s="8"/>
      <c r="E45" s="8"/>
      <c r="F45" s="14"/>
      <c r="G45" s="14"/>
      <c r="H45" s="8"/>
      <c r="I45" s="8"/>
      <c r="J45" s="8"/>
      <c r="K45" s="8"/>
      <c r="L45" s="8"/>
      <c r="M45" s="14"/>
      <c r="N45" s="14"/>
      <c r="O45" s="8"/>
      <c r="P45" s="8"/>
      <c r="Q45" s="8"/>
      <c r="R45" s="8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1:33" ht="30" customHeight="1" x14ac:dyDescent="0.3">
      <c r="A46" s="3"/>
      <c r="B46" s="11" t="s">
        <v>4</v>
      </c>
      <c r="C46" s="14"/>
      <c r="D46" s="8"/>
      <c r="E46" s="8"/>
      <c r="F46" s="14"/>
      <c r="G46" s="14"/>
      <c r="H46" s="8"/>
      <c r="I46" s="8"/>
      <c r="J46" s="8"/>
      <c r="K46" s="8"/>
      <c r="L46" s="8"/>
      <c r="M46" s="14"/>
      <c r="N46" s="14"/>
      <c r="O46" s="8"/>
      <c r="P46" s="8"/>
      <c r="Q46" s="8"/>
      <c r="R46" s="8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 ht="30" customHeight="1" x14ac:dyDescent="0.3">
      <c r="A47" s="3"/>
      <c r="B47" s="11" t="s">
        <v>5</v>
      </c>
      <c r="C47" s="14"/>
      <c r="D47" s="8"/>
      <c r="E47" s="8"/>
      <c r="F47" s="14"/>
      <c r="G47" s="14"/>
      <c r="H47" s="8"/>
      <c r="I47" s="8"/>
      <c r="J47" s="8"/>
      <c r="K47" s="8"/>
      <c r="L47" s="8"/>
      <c r="M47" s="14"/>
      <c r="N47" s="14"/>
      <c r="O47" s="8"/>
      <c r="P47" s="8"/>
      <c r="Q47" s="8"/>
      <c r="R47" s="8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1:33" ht="22.5" customHeight="1" x14ac:dyDescent="0.3">
      <c r="A48" s="3"/>
      <c r="B48" s="8" t="s">
        <v>9</v>
      </c>
      <c r="C48" s="10">
        <v>45428</v>
      </c>
      <c r="D48" s="10">
        <v>45429</v>
      </c>
      <c r="E48" s="9">
        <v>45430</v>
      </c>
      <c r="F48" s="9">
        <v>45431</v>
      </c>
      <c r="G48" s="10">
        <v>45432</v>
      </c>
      <c r="H48" s="10">
        <v>45433</v>
      </c>
      <c r="I48" s="10">
        <v>45434</v>
      </c>
      <c r="J48" s="10">
        <v>45435</v>
      </c>
      <c r="K48" s="10">
        <v>45436</v>
      </c>
      <c r="L48" s="9">
        <v>45437</v>
      </c>
      <c r="M48" s="9">
        <v>45438</v>
      </c>
      <c r="N48" s="10">
        <v>45439</v>
      </c>
      <c r="O48" s="10">
        <v>45440</v>
      </c>
      <c r="P48" s="10">
        <v>45441</v>
      </c>
      <c r="Q48" s="10">
        <v>45442</v>
      </c>
      <c r="R48" s="10">
        <v>45443</v>
      </c>
    </row>
    <row r="49" spans="1:33" ht="30" customHeight="1" x14ac:dyDescent="0.3">
      <c r="A49" s="3"/>
      <c r="B49" s="11" t="s">
        <v>2</v>
      </c>
      <c r="C49" s="15"/>
      <c r="D49" s="15"/>
      <c r="E49" s="16"/>
      <c r="F49" s="16"/>
      <c r="G49" s="15"/>
      <c r="H49" s="15"/>
      <c r="I49" s="15"/>
      <c r="J49" s="15"/>
      <c r="K49" s="15"/>
      <c r="L49" s="16"/>
      <c r="M49" s="16"/>
      <c r="N49" s="15"/>
      <c r="O49" s="15"/>
      <c r="P49" s="15"/>
      <c r="Q49" s="15"/>
      <c r="R49" s="8"/>
    </row>
    <row r="50" spans="1:33" ht="30" customHeight="1" x14ac:dyDescent="0.3">
      <c r="A50" s="3"/>
      <c r="B50" s="11" t="s">
        <v>3</v>
      </c>
      <c r="C50" s="8"/>
      <c r="D50" s="8"/>
      <c r="E50" s="14"/>
      <c r="F50" s="14"/>
      <c r="G50" s="8"/>
      <c r="H50" s="8"/>
      <c r="I50" s="8"/>
      <c r="J50" s="8"/>
      <c r="K50" s="8"/>
      <c r="L50" s="14"/>
      <c r="M50" s="14"/>
      <c r="N50" s="8"/>
      <c r="O50" s="8"/>
      <c r="P50" s="8"/>
      <c r="Q50" s="8"/>
      <c r="R50" s="8"/>
    </row>
    <row r="51" spans="1:33" ht="30" customHeight="1" x14ac:dyDescent="0.3">
      <c r="A51" s="3"/>
      <c r="B51" s="11" t="s">
        <v>4</v>
      </c>
      <c r="C51" s="8"/>
      <c r="D51" s="8"/>
      <c r="E51" s="14"/>
      <c r="F51" s="14"/>
      <c r="G51" s="8"/>
      <c r="H51" s="8"/>
      <c r="I51" s="8"/>
      <c r="J51" s="8"/>
      <c r="K51" s="8"/>
      <c r="L51" s="14"/>
      <c r="M51" s="14"/>
      <c r="N51" s="8"/>
      <c r="O51" s="8"/>
      <c r="P51" s="8"/>
      <c r="Q51" s="8"/>
      <c r="R51" s="8"/>
    </row>
    <row r="52" spans="1:33" ht="30" customHeight="1" x14ac:dyDescent="0.3">
      <c r="A52" s="3"/>
      <c r="B52" s="11" t="s">
        <v>5</v>
      </c>
      <c r="C52" s="8"/>
      <c r="D52" s="8"/>
      <c r="E52" s="14"/>
      <c r="F52" s="14"/>
      <c r="G52" s="8"/>
      <c r="H52" s="8"/>
      <c r="I52" s="8"/>
      <c r="J52" s="8"/>
      <c r="K52" s="8"/>
      <c r="L52" s="14"/>
      <c r="M52" s="14"/>
      <c r="N52" s="8"/>
      <c r="O52" s="8"/>
      <c r="P52" s="8"/>
      <c r="Q52" s="8"/>
      <c r="R52" s="8"/>
    </row>
    <row r="53" spans="1:33" ht="25.5" customHeight="1" x14ac:dyDescent="0.3">
      <c r="A53" s="3"/>
      <c r="B53" s="8" t="s">
        <v>10</v>
      </c>
      <c r="C53" s="9">
        <v>45444</v>
      </c>
      <c r="D53" s="9">
        <v>45445</v>
      </c>
      <c r="E53" s="10">
        <v>45446</v>
      </c>
      <c r="F53" s="10">
        <v>45447</v>
      </c>
      <c r="G53" s="10">
        <v>45448</v>
      </c>
      <c r="H53" s="10">
        <v>45449</v>
      </c>
      <c r="I53" s="10">
        <v>45450</v>
      </c>
      <c r="J53" s="9">
        <v>45451</v>
      </c>
      <c r="K53" s="9">
        <v>45452</v>
      </c>
      <c r="L53" s="10">
        <v>45453</v>
      </c>
      <c r="M53" s="10">
        <v>45454</v>
      </c>
      <c r="N53" s="10">
        <v>45455</v>
      </c>
      <c r="O53" s="10">
        <v>45456</v>
      </c>
      <c r="P53" s="10">
        <v>45457</v>
      </c>
      <c r="Q53" s="9">
        <v>45458</v>
      </c>
      <c r="R53" s="17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</row>
    <row r="54" spans="1:33" ht="30" customHeight="1" x14ac:dyDescent="0.3">
      <c r="A54" s="3"/>
      <c r="B54" s="11" t="s">
        <v>2</v>
      </c>
      <c r="C54" s="14"/>
      <c r="D54" s="14"/>
      <c r="E54" s="8"/>
      <c r="F54" s="8"/>
      <c r="G54" s="8"/>
      <c r="H54" s="8"/>
      <c r="I54" s="8"/>
      <c r="J54" s="14"/>
      <c r="K54" s="14"/>
      <c r="L54" s="8"/>
      <c r="M54" s="8"/>
      <c r="N54" s="8"/>
      <c r="O54" s="8"/>
      <c r="P54" s="8"/>
      <c r="Q54" s="14"/>
      <c r="R54" s="8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</row>
    <row r="55" spans="1:33" ht="30" customHeight="1" x14ac:dyDescent="0.3">
      <c r="A55" s="3"/>
      <c r="B55" s="11" t="s">
        <v>3</v>
      </c>
      <c r="C55" s="14"/>
      <c r="D55" s="14"/>
      <c r="E55" s="8"/>
      <c r="F55" s="8"/>
      <c r="G55" s="8"/>
      <c r="H55" s="8"/>
      <c r="I55" s="8"/>
      <c r="J55" s="14"/>
      <c r="K55" s="14"/>
      <c r="L55" s="8"/>
      <c r="M55" s="8"/>
      <c r="N55" s="8"/>
      <c r="O55" s="8"/>
      <c r="P55" s="8"/>
      <c r="Q55" s="14"/>
      <c r="R55" s="8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</row>
    <row r="56" spans="1:33" ht="30" customHeight="1" x14ac:dyDescent="0.3">
      <c r="A56" s="3"/>
      <c r="B56" s="11" t="s">
        <v>4</v>
      </c>
      <c r="C56" s="14"/>
      <c r="D56" s="14"/>
      <c r="E56" s="8"/>
      <c r="F56" s="8"/>
      <c r="G56" s="8"/>
      <c r="H56" s="8"/>
      <c r="I56" s="8"/>
      <c r="J56" s="14"/>
      <c r="K56" s="14"/>
      <c r="L56" s="8"/>
      <c r="M56" s="8"/>
      <c r="N56" s="8"/>
      <c r="O56" s="8"/>
      <c r="P56" s="8"/>
      <c r="Q56" s="14"/>
      <c r="R56" s="8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</row>
    <row r="57" spans="1:33" ht="30" customHeight="1" x14ac:dyDescent="0.3">
      <c r="A57" s="3"/>
      <c r="B57" s="11" t="s">
        <v>5</v>
      </c>
      <c r="C57" s="14"/>
      <c r="D57" s="14"/>
      <c r="E57" s="8"/>
      <c r="F57" s="8"/>
      <c r="G57" s="8"/>
      <c r="H57" s="18" t="s">
        <v>17</v>
      </c>
      <c r="I57" s="18" t="s">
        <v>17</v>
      </c>
      <c r="J57" s="18" t="s">
        <v>17</v>
      </c>
      <c r="K57" s="18" t="s">
        <v>17</v>
      </c>
      <c r="L57" s="18" t="s">
        <v>17</v>
      </c>
      <c r="M57" s="18" t="s">
        <v>17</v>
      </c>
      <c r="N57" s="18" t="s">
        <v>17</v>
      </c>
      <c r="O57" s="18" t="s">
        <v>17</v>
      </c>
      <c r="P57" s="18" t="s">
        <v>17</v>
      </c>
      <c r="Q57" s="18" t="s">
        <v>17</v>
      </c>
      <c r="R57" s="8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</row>
    <row r="58" spans="1:33" ht="22.5" customHeight="1" x14ac:dyDescent="0.3">
      <c r="A58" s="3"/>
      <c r="B58" s="8" t="s">
        <v>10</v>
      </c>
      <c r="C58" s="9">
        <v>45459</v>
      </c>
      <c r="D58" s="10">
        <v>45460</v>
      </c>
      <c r="E58" s="10">
        <v>45461</v>
      </c>
      <c r="F58" s="10">
        <v>45462</v>
      </c>
      <c r="G58" s="10">
        <v>45463</v>
      </c>
      <c r="H58" s="10">
        <v>45464</v>
      </c>
      <c r="I58" s="9">
        <v>45465</v>
      </c>
      <c r="J58" s="9">
        <v>45466</v>
      </c>
      <c r="K58" s="10">
        <v>45467</v>
      </c>
      <c r="L58" s="10">
        <v>45468</v>
      </c>
      <c r="M58" s="10">
        <v>45469</v>
      </c>
      <c r="N58" s="10">
        <v>45470</v>
      </c>
      <c r="O58" s="10">
        <v>45471</v>
      </c>
      <c r="P58" s="9">
        <v>45472</v>
      </c>
      <c r="Q58" s="9">
        <v>45473</v>
      </c>
      <c r="R58" s="17"/>
    </row>
    <row r="59" spans="1:33" ht="30" customHeight="1" x14ac:dyDescent="0.3">
      <c r="A59" s="3"/>
      <c r="B59" s="11" t="s">
        <v>2</v>
      </c>
      <c r="C59" s="14" t="s">
        <v>19</v>
      </c>
      <c r="D59" s="18" t="s">
        <v>19</v>
      </c>
      <c r="E59" s="18" t="s">
        <v>19</v>
      </c>
      <c r="F59" s="18" t="s">
        <v>19</v>
      </c>
      <c r="G59" s="18" t="s">
        <v>19</v>
      </c>
      <c r="H59" s="18" t="s">
        <v>19</v>
      </c>
      <c r="I59" s="18" t="s">
        <v>19</v>
      </c>
      <c r="J59" s="18" t="s">
        <v>19</v>
      </c>
      <c r="K59" s="18" t="s">
        <v>19</v>
      </c>
      <c r="L59" s="18" t="s">
        <v>19</v>
      </c>
      <c r="M59" s="18" t="s">
        <v>19</v>
      </c>
      <c r="N59" s="18" t="s">
        <v>19</v>
      </c>
      <c r="O59" s="18" t="s">
        <v>19</v>
      </c>
      <c r="P59" s="14"/>
      <c r="Q59" s="14"/>
      <c r="R59" s="8"/>
    </row>
    <row r="60" spans="1:33" ht="30" customHeight="1" x14ac:dyDescent="0.3">
      <c r="A60" s="3"/>
      <c r="B60" s="11" t="s">
        <v>3</v>
      </c>
      <c r="C60" s="14"/>
      <c r="D60" s="8"/>
      <c r="E60" s="18" t="s">
        <v>18</v>
      </c>
      <c r="F60" s="18" t="s">
        <v>18</v>
      </c>
      <c r="G60" s="18" t="s">
        <v>18</v>
      </c>
      <c r="H60" s="18" t="s">
        <v>18</v>
      </c>
      <c r="I60" s="18" t="s">
        <v>18</v>
      </c>
      <c r="J60" s="18" t="s">
        <v>18</v>
      </c>
      <c r="K60" s="18" t="s">
        <v>18</v>
      </c>
      <c r="L60" s="18" t="s">
        <v>18</v>
      </c>
      <c r="M60" s="18" t="s">
        <v>18</v>
      </c>
      <c r="N60" s="18" t="s">
        <v>18</v>
      </c>
      <c r="O60" s="18" t="s">
        <v>18</v>
      </c>
      <c r="P60" s="18" t="s">
        <v>18</v>
      </c>
      <c r="Q60" s="18" t="s">
        <v>18</v>
      </c>
      <c r="R60" s="8"/>
    </row>
    <row r="61" spans="1:33" ht="30" customHeight="1" x14ac:dyDescent="0.3">
      <c r="A61" s="3"/>
      <c r="B61" s="11" t="s">
        <v>4</v>
      </c>
      <c r="C61" s="14"/>
      <c r="D61" s="18" t="s">
        <v>21</v>
      </c>
      <c r="E61" s="18" t="s">
        <v>21</v>
      </c>
      <c r="F61" s="1"/>
      <c r="G61" s="1"/>
      <c r="H61" s="1"/>
      <c r="I61" s="14"/>
      <c r="J61" s="14"/>
      <c r="K61" s="1"/>
      <c r="L61" s="1"/>
      <c r="M61" s="1"/>
      <c r="N61" s="18" t="s">
        <v>21</v>
      </c>
      <c r="O61" s="18" t="s">
        <v>21</v>
      </c>
      <c r="P61" s="18" t="s">
        <v>21</v>
      </c>
      <c r="Q61" s="18" t="s">
        <v>21</v>
      </c>
      <c r="R61" s="8"/>
    </row>
    <row r="62" spans="1:33" ht="30" customHeight="1" x14ac:dyDescent="0.3">
      <c r="A62" s="3"/>
      <c r="B62" s="11" t="s">
        <v>5</v>
      </c>
      <c r="C62" s="18" t="s">
        <v>17</v>
      </c>
      <c r="D62" s="18" t="s">
        <v>17</v>
      </c>
      <c r="E62" s="18" t="s">
        <v>17</v>
      </c>
      <c r="F62" s="18" t="s">
        <v>17</v>
      </c>
      <c r="G62" s="18" t="s">
        <v>17</v>
      </c>
      <c r="H62" s="18" t="s">
        <v>17</v>
      </c>
      <c r="I62" s="18" t="s">
        <v>17</v>
      </c>
      <c r="J62" s="18" t="s">
        <v>17</v>
      </c>
      <c r="K62" s="18" t="s">
        <v>17</v>
      </c>
      <c r="L62" s="18" t="s">
        <v>17</v>
      </c>
      <c r="M62" s="18" t="s">
        <v>17</v>
      </c>
      <c r="N62" s="18" t="s">
        <v>17</v>
      </c>
      <c r="O62" s="18" t="s">
        <v>17</v>
      </c>
      <c r="P62" s="18" t="s">
        <v>17</v>
      </c>
      <c r="Q62" s="18" t="s">
        <v>17</v>
      </c>
      <c r="R62" s="8"/>
    </row>
    <row r="63" spans="1:33" ht="25.5" customHeight="1" x14ac:dyDescent="0.3">
      <c r="A63" s="3"/>
      <c r="B63" s="8" t="s">
        <v>11</v>
      </c>
      <c r="C63" s="10">
        <v>45474</v>
      </c>
      <c r="D63" s="10">
        <v>45475</v>
      </c>
      <c r="E63" s="10">
        <v>45476</v>
      </c>
      <c r="F63" s="10">
        <v>45477</v>
      </c>
      <c r="G63" s="10">
        <v>45478</v>
      </c>
      <c r="H63" s="9">
        <v>45479</v>
      </c>
      <c r="I63" s="9">
        <v>45480</v>
      </c>
      <c r="J63" s="10">
        <v>45481</v>
      </c>
      <c r="K63" s="10">
        <v>45482</v>
      </c>
      <c r="L63" s="10">
        <v>45483</v>
      </c>
      <c r="M63" s="10">
        <v>45484</v>
      </c>
      <c r="N63" s="10">
        <v>45485</v>
      </c>
      <c r="O63" s="9">
        <v>45486</v>
      </c>
      <c r="P63" s="9">
        <v>45487</v>
      </c>
      <c r="Q63" s="10">
        <v>45488</v>
      </c>
      <c r="R63" s="17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</row>
    <row r="64" spans="1:33" ht="30" customHeight="1" x14ac:dyDescent="0.3">
      <c r="A64" s="3"/>
      <c r="B64" s="11" t="s">
        <v>2</v>
      </c>
      <c r="C64" s="18" t="s">
        <v>20</v>
      </c>
      <c r="D64" s="18" t="s">
        <v>20</v>
      </c>
      <c r="E64" s="18" t="s">
        <v>20</v>
      </c>
      <c r="F64" s="18" t="s">
        <v>20</v>
      </c>
      <c r="G64" s="18" t="s">
        <v>20</v>
      </c>
      <c r="H64" s="18" t="s">
        <v>20</v>
      </c>
      <c r="I64" s="18" t="s">
        <v>20</v>
      </c>
      <c r="J64" s="18" t="s">
        <v>20</v>
      </c>
      <c r="K64" s="18" t="s">
        <v>20</v>
      </c>
      <c r="L64" s="18" t="s">
        <v>20</v>
      </c>
      <c r="M64" s="18" t="s">
        <v>20</v>
      </c>
      <c r="N64" s="18" t="s">
        <v>20</v>
      </c>
      <c r="O64" s="14"/>
      <c r="P64" s="14"/>
      <c r="Q64" s="8"/>
      <c r="R64" s="8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</row>
    <row r="65" spans="1:33" ht="30" customHeight="1" x14ac:dyDescent="0.3">
      <c r="A65" s="3"/>
      <c r="B65" s="11" t="s">
        <v>3</v>
      </c>
      <c r="C65" s="18" t="s">
        <v>18</v>
      </c>
      <c r="D65" s="18" t="s">
        <v>18</v>
      </c>
      <c r="E65" s="18" t="s">
        <v>18</v>
      </c>
      <c r="F65" s="18" t="s">
        <v>18</v>
      </c>
      <c r="G65" s="18" t="s">
        <v>18</v>
      </c>
      <c r="H65" s="14"/>
      <c r="I65" s="14"/>
      <c r="J65" s="8"/>
      <c r="K65" s="8"/>
      <c r="L65" s="8"/>
      <c r="M65" s="8"/>
      <c r="N65" s="8"/>
      <c r="O65" s="14"/>
      <c r="P65" s="14"/>
      <c r="Q65" s="8"/>
      <c r="R65" s="8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</row>
    <row r="66" spans="1:33" ht="30" customHeight="1" x14ac:dyDescent="0.3">
      <c r="A66" s="3"/>
      <c r="B66" s="11" t="s">
        <v>4</v>
      </c>
      <c r="C66" s="18" t="s">
        <v>21</v>
      </c>
      <c r="D66" s="18" t="s">
        <v>21</v>
      </c>
      <c r="E66" s="18" t="s">
        <v>21</v>
      </c>
      <c r="F66" s="18" t="s">
        <v>21</v>
      </c>
      <c r="G66" s="18" t="s">
        <v>21</v>
      </c>
      <c r="H66" s="18" t="s">
        <v>21</v>
      </c>
      <c r="I66" s="18" t="s">
        <v>21</v>
      </c>
      <c r="J66" s="18" t="s">
        <v>21</v>
      </c>
      <c r="K66" s="18" t="s">
        <v>21</v>
      </c>
      <c r="L66" s="18" t="s">
        <v>21</v>
      </c>
      <c r="M66" s="18" t="s">
        <v>21</v>
      </c>
      <c r="N66" s="18" t="s">
        <v>21</v>
      </c>
      <c r="O66" s="18" t="s">
        <v>21</v>
      </c>
      <c r="P66" s="18" t="s">
        <v>21</v>
      </c>
      <c r="Q66" s="18" t="s">
        <v>21</v>
      </c>
      <c r="R66" s="8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</row>
    <row r="67" spans="1:33" ht="30" customHeight="1" x14ac:dyDescent="0.3">
      <c r="A67" s="3"/>
      <c r="B67" s="11" t="s">
        <v>5</v>
      </c>
      <c r="C67" s="18" t="s">
        <v>17</v>
      </c>
      <c r="D67" s="18" t="s">
        <v>17</v>
      </c>
      <c r="E67" s="18" t="s">
        <v>17</v>
      </c>
      <c r="F67" s="18" t="s">
        <v>17</v>
      </c>
      <c r="G67" s="18" t="s">
        <v>17</v>
      </c>
      <c r="H67" s="18" t="s">
        <v>17</v>
      </c>
      <c r="I67" s="18" t="s">
        <v>17</v>
      </c>
      <c r="J67" s="18" t="s">
        <v>17</v>
      </c>
      <c r="K67" s="18" t="s">
        <v>17</v>
      </c>
      <c r="L67" s="18" t="s">
        <v>17</v>
      </c>
      <c r="M67" s="18" t="s">
        <v>17</v>
      </c>
      <c r="N67" s="18" t="s">
        <v>17</v>
      </c>
      <c r="O67" s="18" t="s">
        <v>17</v>
      </c>
      <c r="P67" s="18" t="s">
        <v>17</v>
      </c>
      <c r="Q67" s="18" t="s">
        <v>17</v>
      </c>
      <c r="R67" s="8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</row>
    <row r="68" spans="1:33" ht="22.5" customHeight="1" x14ac:dyDescent="0.3">
      <c r="A68" s="3"/>
      <c r="B68" s="8" t="s">
        <v>11</v>
      </c>
      <c r="C68" s="10">
        <v>45489</v>
      </c>
      <c r="D68" s="10">
        <v>45490</v>
      </c>
      <c r="E68" s="10">
        <v>45491</v>
      </c>
      <c r="F68" s="10">
        <v>45492</v>
      </c>
      <c r="G68" s="9">
        <v>45493</v>
      </c>
      <c r="H68" s="9">
        <v>45494</v>
      </c>
      <c r="I68" s="10">
        <v>45495</v>
      </c>
      <c r="J68" s="10">
        <v>45496</v>
      </c>
      <c r="K68" s="10">
        <v>45497</v>
      </c>
      <c r="L68" s="10">
        <v>45498</v>
      </c>
      <c r="M68" s="10">
        <v>45499</v>
      </c>
      <c r="N68" s="9">
        <v>45500</v>
      </c>
      <c r="O68" s="9">
        <v>45501</v>
      </c>
      <c r="P68" s="10">
        <v>45502</v>
      </c>
      <c r="Q68" s="10">
        <v>45503</v>
      </c>
      <c r="R68" s="10">
        <v>45504</v>
      </c>
    </row>
    <row r="69" spans="1:33" ht="30" customHeight="1" x14ac:dyDescent="0.3">
      <c r="A69" s="3"/>
      <c r="B69" s="11" t="s">
        <v>2</v>
      </c>
      <c r="C69" s="8"/>
      <c r="D69" s="8"/>
      <c r="E69" s="8"/>
      <c r="F69" s="18" t="s">
        <v>23</v>
      </c>
      <c r="G69" s="14"/>
      <c r="H69" s="14"/>
      <c r="I69" s="18" t="s">
        <v>23</v>
      </c>
      <c r="J69" s="18" t="s">
        <v>23</v>
      </c>
      <c r="K69" s="18" t="s">
        <v>23</v>
      </c>
      <c r="L69" s="18" t="s">
        <v>23</v>
      </c>
      <c r="M69" s="18" t="s">
        <v>23</v>
      </c>
      <c r="N69" s="18" t="s">
        <v>23</v>
      </c>
      <c r="O69" s="18" t="s">
        <v>23</v>
      </c>
      <c r="P69" s="18" t="s">
        <v>23</v>
      </c>
      <c r="Q69" s="18" t="s">
        <v>23</v>
      </c>
      <c r="R69" s="18" t="s">
        <v>23</v>
      </c>
    </row>
    <row r="70" spans="1:33" ht="30" customHeight="1" x14ac:dyDescent="0.3">
      <c r="A70" s="3"/>
      <c r="B70" s="11" t="s">
        <v>3</v>
      </c>
      <c r="C70" s="8"/>
      <c r="D70" s="8"/>
      <c r="E70" s="8"/>
      <c r="F70" s="8"/>
      <c r="G70" s="14"/>
      <c r="H70" s="14"/>
      <c r="I70" s="18" t="s">
        <v>24</v>
      </c>
      <c r="J70" s="18" t="s">
        <v>24</v>
      </c>
      <c r="K70" s="18" t="s">
        <v>24</v>
      </c>
      <c r="L70" s="18" t="s">
        <v>24</v>
      </c>
      <c r="M70" s="18" t="s">
        <v>24</v>
      </c>
      <c r="N70" s="18" t="s">
        <v>24</v>
      </c>
      <c r="O70" s="18" t="s">
        <v>24</v>
      </c>
      <c r="P70" s="18" t="s">
        <v>24</v>
      </c>
      <c r="Q70" s="18" t="s">
        <v>24</v>
      </c>
      <c r="R70" s="18" t="s">
        <v>24</v>
      </c>
    </row>
    <row r="71" spans="1:33" ht="30" customHeight="1" x14ac:dyDescent="0.3">
      <c r="A71" s="3"/>
      <c r="B71" s="11" t="s">
        <v>4</v>
      </c>
      <c r="C71" s="18" t="s">
        <v>21</v>
      </c>
      <c r="D71" s="18" t="s">
        <v>21</v>
      </c>
      <c r="E71" s="18" t="s">
        <v>21</v>
      </c>
      <c r="F71" s="18" t="s">
        <v>21</v>
      </c>
      <c r="G71" s="18" t="s">
        <v>21</v>
      </c>
      <c r="H71" s="18" t="s">
        <v>21</v>
      </c>
      <c r="I71" s="18" t="s">
        <v>21</v>
      </c>
      <c r="J71" s="18" t="s">
        <v>21</v>
      </c>
      <c r="K71" s="18" t="s">
        <v>21</v>
      </c>
      <c r="L71" s="18" t="s">
        <v>21</v>
      </c>
      <c r="M71" s="18" t="s">
        <v>21</v>
      </c>
      <c r="N71" s="18" t="s">
        <v>21</v>
      </c>
      <c r="O71" s="18" t="s">
        <v>21</v>
      </c>
      <c r="P71" s="18" t="s">
        <v>21</v>
      </c>
      <c r="Q71" s="18" t="s">
        <v>21</v>
      </c>
      <c r="R71" s="18" t="s">
        <v>21</v>
      </c>
    </row>
    <row r="72" spans="1:33" ht="30" customHeight="1" x14ac:dyDescent="0.3">
      <c r="A72" s="3"/>
      <c r="B72" s="11" t="s">
        <v>5</v>
      </c>
      <c r="C72" s="18" t="s">
        <v>17</v>
      </c>
      <c r="D72" s="18" t="s">
        <v>17</v>
      </c>
      <c r="E72" s="18" t="s">
        <v>17</v>
      </c>
      <c r="F72" s="18" t="s">
        <v>17</v>
      </c>
      <c r="G72" s="18" t="s">
        <v>17</v>
      </c>
      <c r="H72" s="18" t="s">
        <v>17</v>
      </c>
      <c r="I72" s="18" t="s">
        <v>17</v>
      </c>
      <c r="J72" s="18" t="s">
        <v>17</v>
      </c>
      <c r="K72" s="18" t="s">
        <v>17</v>
      </c>
      <c r="L72" s="8"/>
      <c r="M72" s="8"/>
      <c r="N72" s="14"/>
      <c r="O72" s="14"/>
      <c r="P72" s="8"/>
      <c r="Q72" s="8"/>
    </row>
    <row r="73" spans="1:33" ht="25.5" customHeight="1" x14ac:dyDescent="0.3">
      <c r="A73" s="3"/>
      <c r="B73" s="8" t="s">
        <v>12</v>
      </c>
      <c r="C73" s="10">
        <v>45505</v>
      </c>
      <c r="D73" s="10">
        <v>45506</v>
      </c>
      <c r="E73" s="9">
        <v>45507</v>
      </c>
      <c r="F73" s="9">
        <v>45508</v>
      </c>
      <c r="G73" s="10">
        <v>45509</v>
      </c>
      <c r="H73" s="10">
        <v>45510</v>
      </c>
      <c r="I73" s="10">
        <v>45511</v>
      </c>
      <c r="J73" s="10">
        <v>45512</v>
      </c>
      <c r="K73" s="10">
        <v>45513</v>
      </c>
      <c r="L73" s="9">
        <v>45514</v>
      </c>
      <c r="M73" s="9">
        <v>45515</v>
      </c>
      <c r="N73" s="10">
        <v>45516</v>
      </c>
      <c r="O73" s="10">
        <v>45517</v>
      </c>
      <c r="P73" s="10">
        <v>45518</v>
      </c>
      <c r="Q73" s="9">
        <v>45519</v>
      </c>
      <c r="R73" s="17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</row>
    <row r="74" spans="1:33" ht="30" customHeight="1" x14ac:dyDescent="0.3">
      <c r="A74" s="3"/>
      <c r="B74" s="11" t="s">
        <v>2</v>
      </c>
      <c r="C74" s="18" t="s">
        <v>23</v>
      </c>
      <c r="D74" s="18" t="s">
        <v>23</v>
      </c>
      <c r="E74" s="18" t="s">
        <v>23</v>
      </c>
      <c r="F74" s="18" t="s">
        <v>23</v>
      </c>
      <c r="G74" s="18" t="s">
        <v>23</v>
      </c>
      <c r="H74" s="18" t="s">
        <v>23</v>
      </c>
      <c r="I74" s="18" t="s">
        <v>23</v>
      </c>
      <c r="J74" s="18" t="s">
        <v>23</v>
      </c>
      <c r="K74" s="18" t="s">
        <v>23</v>
      </c>
      <c r="L74" s="18" t="s">
        <v>23</v>
      </c>
      <c r="M74" s="18" t="s">
        <v>23</v>
      </c>
      <c r="N74" s="18" t="s">
        <v>23</v>
      </c>
      <c r="O74" s="18" t="s">
        <v>23</v>
      </c>
      <c r="P74" s="18" t="s">
        <v>23</v>
      </c>
      <c r="Q74" s="18" t="s">
        <v>23</v>
      </c>
      <c r="R74" s="8"/>
      <c r="S74" s="8" t="s">
        <v>25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</row>
    <row r="75" spans="1:33" ht="30" customHeight="1" x14ac:dyDescent="0.3">
      <c r="A75" s="3"/>
      <c r="B75" s="11" t="s">
        <v>3</v>
      </c>
      <c r="C75" s="18" t="s">
        <v>24</v>
      </c>
      <c r="D75" s="18" t="s">
        <v>24</v>
      </c>
      <c r="E75" s="14"/>
      <c r="F75" s="14"/>
      <c r="G75" s="8"/>
      <c r="H75" s="18" t="s">
        <v>25</v>
      </c>
      <c r="I75" s="18" t="s">
        <v>25</v>
      </c>
      <c r="J75" s="18" t="s">
        <v>25</v>
      </c>
      <c r="K75" s="18" t="s">
        <v>25</v>
      </c>
      <c r="L75" s="18" t="s">
        <v>25</v>
      </c>
      <c r="M75" s="18" t="s">
        <v>25</v>
      </c>
      <c r="N75" s="18" t="s">
        <v>25</v>
      </c>
      <c r="O75" s="18" t="s">
        <v>25</v>
      </c>
      <c r="P75" s="18" t="s">
        <v>25</v>
      </c>
      <c r="Q75" s="18" t="s">
        <v>25</v>
      </c>
      <c r="R75" s="8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</row>
    <row r="76" spans="1:33" ht="30" customHeight="1" x14ac:dyDescent="0.3">
      <c r="A76" s="3"/>
      <c r="B76" s="11" t="s">
        <v>4</v>
      </c>
      <c r="C76" s="18" t="s">
        <v>21</v>
      </c>
      <c r="D76" s="18" t="s">
        <v>21</v>
      </c>
      <c r="E76" s="18" t="s">
        <v>21</v>
      </c>
      <c r="F76" s="18" t="s">
        <v>21</v>
      </c>
      <c r="G76" s="18" t="s">
        <v>21</v>
      </c>
      <c r="H76" s="18" t="s">
        <v>21</v>
      </c>
      <c r="I76" s="18" t="s">
        <v>21</v>
      </c>
      <c r="J76" s="18" t="s">
        <v>21</v>
      </c>
      <c r="K76" s="8"/>
      <c r="L76" s="14"/>
      <c r="M76" s="14"/>
      <c r="N76" s="8"/>
      <c r="O76" s="8"/>
      <c r="P76" s="8"/>
      <c r="Q76" s="14"/>
      <c r="R76" s="8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</row>
    <row r="77" spans="1:33" ht="30" customHeight="1" x14ac:dyDescent="0.3">
      <c r="A77" s="3"/>
      <c r="B77" s="11" t="s">
        <v>5</v>
      </c>
      <c r="C77" s="8"/>
      <c r="D77" s="8"/>
      <c r="E77" s="14"/>
      <c r="F77" s="14"/>
      <c r="G77" s="8"/>
      <c r="H77" s="8"/>
      <c r="I77" s="8"/>
      <c r="J77" s="8"/>
      <c r="K77" s="8"/>
      <c r="L77" s="14"/>
      <c r="M77" s="14"/>
      <c r="N77" s="8"/>
      <c r="O77" s="8"/>
      <c r="P77" s="8"/>
      <c r="Q77" s="8"/>
      <c r="R77" s="8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</row>
    <row r="78" spans="1:33" ht="22.5" customHeight="1" x14ac:dyDescent="0.3">
      <c r="A78" s="3"/>
      <c r="B78" s="8" t="s">
        <v>12</v>
      </c>
      <c r="C78" s="10">
        <v>45520</v>
      </c>
      <c r="D78" s="9">
        <v>45521</v>
      </c>
      <c r="E78" s="9">
        <v>45522</v>
      </c>
      <c r="F78" s="10">
        <v>45523</v>
      </c>
      <c r="G78" s="10">
        <v>45524</v>
      </c>
      <c r="H78" s="10">
        <v>45525</v>
      </c>
      <c r="I78" s="10">
        <v>45526</v>
      </c>
      <c r="J78" s="10">
        <v>45527</v>
      </c>
      <c r="K78" s="9">
        <v>45528</v>
      </c>
      <c r="L78" s="9">
        <v>45529</v>
      </c>
      <c r="M78" s="10">
        <v>45530</v>
      </c>
      <c r="N78" s="10">
        <v>45531</v>
      </c>
      <c r="O78" s="10">
        <v>45532</v>
      </c>
      <c r="P78" s="10">
        <v>45533</v>
      </c>
      <c r="Q78" s="10">
        <v>45534</v>
      </c>
      <c r="R78" s="9">
        <v>45535</v>
      </c>
    </row>
    <row r="79" spans="1:33" ht="30" customHeight="1" x14ac:dyDescent="0.3">
      <c r="A79" s="3"/>
      <c r="B79" s="11" t="s">
        <v>2</v>
      </c>
      <c r="C79" s="18" t="s">
        <v>23</v>
      </c>
      <c r="D79" s="18" t="s">
        <v>23</v>
      </c>
      <c r="E79" s="18" t="s">
        <v>23</v>
      </c>
      <c r="F79" s="18" t="s">
        <v>23</v>
      </c>
      <c r="G79" s="18" t="s">
        <v>23</v>
      </c>
      <c r="H79" s="18" t="s">
        <v>23</v>
      </c>
      <c r="I79" s="18" t="s">
        <v>23</v>
      </c>
      <c r="J79" s="18" t="s">
        <v>23</v>
      </c>
      <c r="K79" s="18" t="s">
        <v>23</v>
      </c>
      <c r="L79" s="18" t="s">
        <v>23</v>
      </c>
      <c r="M79" s="18" t="s">
        <v>23</v>
      </c>
      <c r="N79" s="18" t="s">
        <v>23</v>
      </c>
      <c r="O79" s="18" t="s">
        <v>23</v>
      </c>
      <c r="P79" s="18" t="s">
        <v>23</v>
      </c>
      <c r="Q79" s="18" t="s">
        <v>23</v>
      </c>
      <c r="R79" s="18" t="s">
        <v>23</v>
      </c>
    </row>
    <row r="80" spans="1:33" ht="41.4" customHeight="1" x14ac:dyDescent="0.3">
      <c r="A80" s="3"/>
      <c r="B80" s="11" t="s">
        <v>3</v>
      </c>
      <c r="C80" s="18" t="s">
        <v>25</v>
      </c>
      <c r="D80" s="18" t="s">
        <v>25</v>
      </c>
      <c r="E80" s="18" t="s">
        <v>25</v>
      </c>
      <c r="F80" s="18" t="s">
        <v>25</v>
      </c>
      <c r="G80" s="18" t="s">
        <v>25</v>
      </c>
      <c r="H80" s="18" t="s">
        <v>25</v>
      </c>
      <c r="I80" s="18" t="s">
        <v>25</v>
      </c>
      <c r="J80" s="18" t="s">
        <v>25</v>
      </c>
      <c r="K80" s="18" t="s">
        <v>25</v>
      </c>
      <c r="L80" s="18" t="s">
        <v>25</v>
      </c>
      <c r="M80" s="18" t="s">
        <v>25</v>
      </c>
      <c r="N80" s="8"/>
      <c r="O80" s="8"/>
      <c r="P80" s="8"/>
      <c r="Q80" s="8"/>
      <c r="R80" s="14"/>
    </row>
    <row r="81" spans="1:33" ht="30" customHeight="1" x14ac:dyDescent="0.3">
      <c r="A81" s="3"/>
      <c r="B81" s="11" t="s">
        <v>4</v>
      </c>
      <c r="C81" s="8"/>
      <c r="D81" s="14"/>
      <c r="E81" s="14"/>
      <c r="F81" s="8"/>
      <c r="G81" s="8"/>
      <c r="H81" s="8"/>
      <c r="I81" s="8"/>
      <c r="J81" s="8"/>
      <c r="K81" s="14"/>
      <c r="L81" s="14"/>
      <c r="M81" s="8"/>
      <c r="N81" s="18" t="s">
        <v>25</v>
      </c>
      <c r="O81" s="18" t="s">
        <v>25</v>
      </c>
      <c r="P81" s="18" t="s">
        <v>25</v>
      </c>
      <c r="Q81" s="18" t="s">
        <v>25</v>
      </c>
      <c r="R81" s="18" t="s">
        <v>25</v>
      </c>
    </row>
    <row r="82" spans="1:33" ht="30" customHeight="1" x14ac:dyDescent="0.3">
      <c r="A82" s="3"/>
      <c r="B82" s="11" t="s">
        <v>5</v>
      </c>
      <c r="C82" s="8"/>
      <c r="D82" s="14"/>
      <c r="E82" s="19" t="s">
        <v>22</v>
      </c>
      <c r="F82" s="19" t="s">
        <v>22</v>
      </c>
      <c r="G82" s="19" t="s">
        <v>22</v>
      </c>
      <c r="H82" s="19" t="s">
        <v>22</v>
      </c>
      <c r="I82" s="19" t="s">
        <v>22</v>
      </c>
      <c r="J82" s="19" t="s">
        <v>22</v>
      </c>
      <c r="K82" s="19" t="s">
        <v>22</v>
      </c>
      <c r="L82" s="19" t="s">
        <v>22</v>
      </c>
      <c r="M82" s="19" t="s">
        <v>22</v>
      </c>
      <c r="N82" s="19" t="s">
        <v>22</v>
      </c>
      <c r="O82" s="19" t="s">
        <v>22</v>
      </c>
      <c r="P82" s="19" t="s">
        <v>22</v>
      </c>
      <c r="Q82" s="19" t="s">
        <v>22</v>
      </c>
      <c r="R82" s="19" t="s">
        <v>22</v>
      </c>
      <c r="S82" s="8" t="s">
        <v>26</v>
      </c>
    </row>
    <row r="83" spans="1:33" ht="25.5" customHeight="1" x14ac:dyDescent="0.3">
      <c r="A83" s="3"/>
      <c r="B83" s="8" t="s">
        <v>13</v>
      </c>
      <c r="C83" s="9">
        <v>45536</v>
      </c>
      <c r="D83" s="10">
        <v>45537</v>
      </c>
      <c r="E83" s="10">
        <v>45538</v>
      </c>
      <c r="F83" s="10">
        <v>45539</v>
      </c>
      <c r="G83" s="10">
        <v>45540</v>
      </c>
      <c r="H83" s="10">
        <v>45541</v>
      </c>
      <c r="I83" s="9">
        <v>45542</v>
      </c>
      <c r="J83" s="9">
        <v>45543</v>
      </c>
      <c r="K83" s="10">
        <v>45544</v>
      </c>
      <c r="L83" s="10">
        <v>45545</v>
      </c>
      <c r="M83" s="10">
        <v>45546</v>
      </c>
      <c r="N83" s="10">
        <v>45547</v>
      </c>
      <c r="O83" s="10">
        <v>45548</v>
      </c>
      <c r="P83" s="9">
        <v>45549</v>
      </c>
      <c r="Q83" s="9">
        <v>45550</v>
      </c>
      <c r="R83" s="17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</row>
    <row r="84" spans="1:33" ht="30" customHeight="1" x14ac:dyDescent="0.3">
      <c r="A84" s="3"/>
      <c r="B84" s="11" t="s">
        <v>2</v>
      </c>
      <c r="C84" s="18" t="s">
        <v>23</v>
      </c>
      <c r="D84" s="18" t="s">
        <v>23</v>
      </c>
      <c r="E84" s="18" t="s">
        <v>23</v>
      </c>
      <c r="F84" s="18" t="s">
        <v>23</v>
      </c>
      <c r="G84" s="18" t="s">
        <v>23</v>
      </c>
      <c r="H84" s="18" t="s">
        <v>23</v>
      </c>
      <c r="I84" s="18" t="s">
        <v>23</v>
      </c>
      <c r="J84" s="18" t="s">
        <v>23</v>
      </c>
      <c r="K84" s="18" t="s">
        <v>23</v>
      </c>
      <c r="L84" s="18" t="s">
        <v>23</v>
      </c>
      <c r="M84" s="18" t="s">
        <v>23</v>
      </c>
      <c r="N84" s="18" t="s">
        <v>23</v>
      </c>
      <c r="O84" s="18" t="s">
        <v>23</v>
      </c>
      <c r="P84" s="18" t="s">
        <v>23</v>
      </c>
      <c r="Q84" s="18" t="s">
        <v>23</v>
      </c>
      <c r="R84" s="8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</row>
    <row r="85" spans="1:33" ht="30" customHeight="1" x14ac:dyDescent="0.3">
      <c r="A85" s="3"/>
      <c r="B85" s="11" t="s">
        <v>3</v>
      </c>
      <c r="C85" s="14"/>
      <c r="D85" s="8"/>
      <c r="E85" s="8"/>
      <c r="F85" s="8"/>
      <c r="G85" s="8"/>
      <c r="H85" s="8"/>
      <c r="I85" s="14"/>
      <c r="J85" s="14"/>
      <c r="K85" s="8"/>
      <c r="L85" s="8"/>
      <c r="M85" s="8"/>
      <c r="N85" s="8"/>
      <c r="O85" s="8"/>
      <c r="P85" s="14"/>
      <c r="Q85" s="18" t="s">
        <v>27</v>
      </c>
      <c r="R85" s="8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</row>
    <row r="86" spans="1:33" ht="30" customHeight="1" x14ac:dyDescent="0.3">
      <c r="A86" s="3"/>
      <c r="B86" s="11" t="s">
        <v>4</v>
      </c>
      <c r="C86" s="18" t="s">
        <v>25</v>
      </c>
      <c r="D86" s="18" t="s">
        <v>25</v>
      </c>
      <c r="E86" s="18" t="s">
        <v>25</v>
      </c>
      <c r="F86" s="18" t="s">
        <v>25</v>
      </c>
      <c r="G86" s="18" t="s">
        <v>25</v>
      </c>
      <c r="H86" s="18" t="s">
        <v>25</v>
      </c>
      <c r="I86" s="18" t="s">
        <v>25</v>
      </c>
      <c r="J86" s="18" t="s">
        <v>25</v>
      </c>
      <c r="K86" s="18" t="s">
        <v>25</v>
      </c>
      <c r="L86" s="18" t="s">
        <v>25</v>
      </c>
      <c r="M86" s="18" t="s">
        <v>25</v>
      </c>
      <c r="N86" s="18" t="s">
        <v>25</v>
      </c>
      <c r="O86" s="18" t="s">
        <v>25</v>
      </c>
      <c r="P86" s="18" t="s">
        <v>25</v>
      </c>
      <c r="Q86" s="18" t="s">
        <v>25</v>
      </c>
      <c r="R86" s="8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</row>
    <row r="87" spans="1:33" ht="30" customHeight="1" x14ac:dyDescent="0.3">
      <c r="A87" s="3"/>
      <c r="B87" s="11" t="s">
        <v>5</v>
      </c>
      <c r="C87" s="19" t="s">
        <v>22</v>
      </c>
      <c r="D87" s="19" t="s">
        <v>22</v>
      </c>
      <c r="E87" s="19" t="s">
        <v>22</v>
      </c>
      <c r="F87" s="19" t="s">
        <v>22</v>
      </c>
      <c r="G87" s="19" t="s">
        <v>22</v>
      </c>
      <c r="H87" s="19" t="s">
        <v>22</v>
      </c>
      <c r="I87" s="19" t="s">
        <v>22</v>
      </c>
      <c r="J87" s="19" t="s">
        <v>22</v>
      </c>
      <c r="K87" s="19" t="s">
        <v>22</v>
      </c>
      <c r="L87" s="19" t="s">
        <v>22</v>
      </c>
      <c r="M87" s="19" t="s">
        <v>22</v>
      </c>
      <c r="N87" s="19" t="s">
        <v>22</v>
      </c>
      <c r="O87" s="19" t="s">
        <v>22</v>
      </c>
      <c r="P87" s="19" t="s">
        <v>22</v>
      </c>
      <c r="Q87" s="19" t="s">
        <v>22</v>
      </c>
      <c r="R87" s="8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</row>
    <row r="88" spans="1:33" ht="22.5" customHeight="1" x14ac:dyDescent="0.3">
      <c r="A88" s="3"/>
      <c r="B88" s="8" t="s">
        <v>13</v>
      </c>
      <c r="C88" s="10">
        <v>45551</v>
      </c>
      <c r="D88" s="10">
        <v>45552</v>
      </c>
      <c r="E88" s="10">
        <v>45553</v>
      </c>
      <c r="F88" s="10">
        <v>45554</v>
      </c>
      <c r="G88" s="10">
        <v>45555</v>
      </c>
      <c r="H88" s="9">
        <v>45556</v>
      </c>
      <c r="I88" s="9">
        <v>45557</v>
      </c>
      <c r="J88" s="10">
        <v>45558</v>
      </c>
      <c r="K88" s="10">
        <v>45559</v>
      </c>
      <c r="L88" s="10">
        <v>45560</v>
      </c>
      <c r="M88" s="10">
        <v>45561</v>
      </c>
      <c r="N88" s="10">
        <v>45562</v>
      </c>
      <c r="O88" s="9">
        <v>45563</v>
      </c>
      <c r="P88" s="9">
        <v>45564</v>
      </c>
      <c r="Q88" s="10">
        <v>45565</v>
      </c>
      <c r="R88" s="17"/>
    </row>
    <row r="89" spans="1:33" ht="30" customHeight="1" x14ac:dyDescent="0.3">
      <c r="A89" s="3"/>
      <c r="B89" s="11" t="s">
        <v>2</v>
      </c>
      <c r="C89" s="18" t="s">
        <v>23</v>
      </c>
      <c r="D89" s="8"/>
      <c r="E89" s="8"/>
      <c r="F89" s="8"/>
      <c r="G89" s="8"/>
      <c r="H89" s="14"/>
      <c r="I89" s="14"/>
      <c r="J89" s="8"/>
      <c r="K89" s="8"/>
      <c r="L89" s="8"/>
      <c r="M89" s="8"/>
      <c r="N89" s="8"/>
      <c r="O89" s="14"/>
      <c r="P89" s="14"/>
      <c r="Q89" s="8"/>
      <c r="R89" s="8"/>
    </row>
    <row r="90" spans="1:33" ht="30" customHeight="1" x14ac:dyDescent="0.3">
      <c r="A90" s="3"/>
      <c r="B90" s="11" t="s">
        <v>3</v>
      </c>
      <c r="C90" s="18" t="s">
        <v>27</v>
      </c>
      <c r="D90" s="18" t="s">
        <v>27</v>
      </c>
      <c r="E90" s="18" t="s">
        <v>27</v>
      </c>
      <c r="F90" s="18" t="s">
        <v>27</v>
      </c>
      <c r="G90" s="18" t="s">
        <v>27</v>
      </c>
      <c r="H90" s="18" t="s">
        <v>27</v>
      </c>
      <c r="I90" s="18" t="s">
        <v>27</v>
      </c>
      <c r="J90" s="18" t="s">
        <v>27</v>
      </c>
      <c r="K90" s="18" t="s">
        <v>27</v>
      </c>
      <c r="L90" s="18" t="s">
        <v>27</v>
      </c>
      <c r="M90" s="18" t="s">
        <v>27</v>
      </c>
      <c r="N90" s="18" t="s">
        <v>27</v>
      </c>
      <c r="O90" s="18" t="s">
        <v>27</v>
      </c>
      <c r="P90" s="18" t="s">
        <v>27</v>
      </c>
      <c r="Q90" s="18" t="s">
        <v>27</v>
      </c>
      <c r="R90" s="8"/>
    </row>
    <row r="91" spans="1:33" ht="30" customHeight="1" x14ac:dyDescent="0.3">
      <c r="A91" s="3"/>
      <c r="B91" s="11" t="s">
        <v>4</v>
      </c>
      <c r="C91" s="18" t="s">
        <v>25</v>
      </c>
      <c r="D91" s="18" t="s">
        <v>25</v>
      </c>
      <c r="E91" s="18" t="s">
        <v>25</v>
      </c>
      <c r="F91" s="18" t="s">
        <v>25</v>
      </c>
      <c r="G91" s="18" t="s">
        <v>25</v>
      </c>
      <c r="H91" s="18" t="s">
        <v>25</v>
      </c>
      <c r="I91" s="18" t="s">
        <v>25</v>
      </c>
      <c r="J91" s="18" t="s">
        <v>25</v>
      </c>
      <c r="K91" s="18" t="s">
        <v>25</v>
      </c>
      <c r="L91" s="18" t="s">
        <v>25</v>
      </c>
      <c r="M91" s="18" t="s">
        <v>25</v>
      </c>
      <c r="N91" s="18" t="s">
        <v>25</v>
      </c>
      <c r="O91" s="18" t="s">
        <v>25</v>
      </c>
      <c r="P91" s="18" t="s">
        <v>25</v>
      </c>
      <c r="Q91" s="18" t="s">
        <v>25</v>
      </c>
      <c r="R91" s="8"/>
    </row>
    <row r="92" spans="1:33" ht="30" customHeight="1" x14ac:dyDescent="0.3">
      <c r="A92" s="3"/>
      <c r="B92" s="11" t="s">
        <v>5</v>
      </c>
      <c r="C92" s="19" t="s">
        <v>22</v>
      </c>
      <c r="D92" s="19" t="s">
        <v>22</v>
      </c>
      <c r="E92" s="19" t="s">
        <v>22</v>
      </c>
      <c r="F92" s="19" t="s">
        <v>22</v>
      </c>
      <c r="G92" s="19" t="s">
        <v>22</v>
      </c>
      <c r="H92" s="19" t="s">
        <v>22</v>
      </c>
      <c r="I92" s="19" t="s">
        <v>22</v>
      </c>
      <c r="J92" s="19" t="s">
        <v>22</v>
      </c>
      <c r="K92" s="19" t="s">
        <v>22</v>
      </c>
      <c r="L92" s="19" t="s">
        <v>22</v>
      </c>
      <c r="M92" s="19" t="s">
        <v>22</v>
      </c>
      <c r="N92" s="19" t="s">
        <v>22</v>
      </c>
      <c r="O92" s="19" t="s">
        <v>22</v>
      </c>
      <c r="P92" s="19" t="s">
        <v>22</v>
      </c>
      <c r="Q92" s="19" t="s">
        <v>22</v>
      </c>
      <c r="R92" s="8"/>
    </row>
    <row r="93" spans="1:33" ht="25.5" customHeight="1" x14ac:dyDescent="0.3">
      <c r="A93" s="3"/>
      <c r="B93" s="8" t="s">
        <v>14</v>
      </c>
      <c r="C93" s="10">
        <v>45566</v>
      </c>
      <c r="D93" s="10">
        <v>45567</v>
      </c>
      <c r="E93" s="10">
        <v>45568</v>
      </c>
      <c r="F93" s="10">
        <v>45569</v>
      </c>
      <c r="G93" s="9">
        <v>45570</v>
      </c>
      <c r="H93" s="9">
        <v>45571</v>
      </c>
      <c r="I93" s="10">
        <v>45572</v>
      </c>
      <c r="J93" s="10">
        <v>45573</v>
      </c>
      <c r="K93" s="10">
        <v>45574</v>
      </c>
      <c r="L93" s="10">
        <v>45575</v>
      </c>
      <c r="M93" s="10">
        <v>45576</v>
      </c>
      <c r="N93" s="9">
        <v>45577</v>
      </c>
      <c r="O93" s="9">
        <v>45578</v>
      </c>
      <c r="P93" s="10">
        <v>45579</v>
      </c>
      <c r="Q93" s="10">
        <v>45580</v>
      </c>
      <c r="R93" s="17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</row>
    <row r="94" spans="1:33" ht="30" customHeight="1" x14ac:dyDescent="0.3">
      <c r="A94" s="3"/>
      <c r="B94" s="11" t="s">
        <v>2</v>
      </c>
      <c r="C94" s="8"/>
      <c r="D94" s="8"/>
      <c r="E94" s="18" t="s">
        <v>29</v>
      </c>
      <c r="F94" s="18" t="s">
        <v>29</v>
      </c>
      <c r="G94" s="18" t="s">
        <v>29</v>
      </c>
      <c r="H94" s="18" t="s">
        <v>29</v>
      </c>
      <c r="I94" s="18" t="s">
        <v>29</v>
      </c>
      <c r="J94" s="18" t="s">
        <v>29</v>
      </c>
      <c r="K94" s="18" t="s">
        <v>29</v>
      </c>
      <c r="L94" s="18" t="s">
        <v>29</v>
      </c>
      <c r="M94" s="18" t="s">
        <v>29</v>
      </c>
      <c r="N94" s="18" t="s">
        <v>29</v>
      </c>
      <c r="O94" s="18" t="s">
        <v>29</v>
      </c>
      <c r="P94" s="18" t="s">
        <v>29</v>
      </c>
      <c r="Q94" s="18" t="s">
        <v>29</v>
      </c>
      <c r="R94" s="8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</row>
    <row r="95" spans="1:33" ht="30" customHeight="1" x14ac:dyDescent="0.3">
      <c r="A95" s="3"/>
      <c r="B95" s="11" t="s">
        <v>3</v>
      </c>
      <c r="C95" s="18" t="s">
        <v>27</v>
      </c>
      <c r="D95" s="18" t="s">
        <v>27</v>
      </c>
      <c r="E95" s="18" t="s">
        <v>27</v>
      </c>
      <c r="F95" s="18" t="s">
        <v>27</v>
      </c>
      <c r="G95" s="18" t="s">
        <v>27</v>
      </c>
      <c r="H95" s="18" t="s">
        <v>27</v>
      </c>
      <c r="I95" s="18" t="s">
        <v>27</v>
      </c>
      <c r="J95" s="18" t="s">
        <v>27</v>
      </c>
      <c r="K95" s="18" t="s">
        <v>27</v>
      </c>
      <c r="L95" s="18" t="s">
        <v>27</v>
      </c>
      <c r="M95" s="18" t="s">
        <v>27</v>
      </c>
      <c r="N95" s="18" t="s">
        <v>27</v>
      </c>
      <c r="O95" s="18" t="s">
        <v>27</v>
      </c>
      <c r="P95" s="18" t="s">
        <v>27</v>
      </c>
      <c r="Q95" s="18" t="s">
        <v>27</v>
      </c>
      <c r="R95" s="8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</row>
    <row r="96" spans="1:33" ht="30" customHeight="1" x14ac:dyDescent="0.3">
      <c r="A96" s="3"/>
      <c r="B96" s="11" t="s">
        <v>4</v>
      </c>
      <c r="C96" s="18" t="s">
        <v>25</v>
      </c>
      <c r="D96" s="18" t="s">
        <v>25</v>
      </c>
      <c r="E96" s="8"/>
      <c r="F96" s="8"/>
      <c r="G96" s="14"/>
      <c r="H96" s="18" t="s">
        <v>28</v>
      </c>
      <c r="I96" s="18" t="s">
        <v>28</v>
      </c>
      <c r="J96" s="18" t="s">
        <v>28</v>
      </c>
      <c r="K96" s="18" t="s">
        <v>28</v>
      </c>
      <c r="L96" s="18" t="s">
        <v>28</v>
      </c>
      <c r="M96" s="18" t="s">
        <v>28</v>
      </c>
      <c r="N96" s="18" t="s">
        <v>28</v>
      </c>
      <c r="O96" s="18" t="s">
        <v>28</v>
      </c>
      <c r="P96" s="18" t="s">
        <v>28</v>
      </c>
      <c r="Q96" s="18" t="s">
        <v>28</v>
      </c>
      <c r="R96" s="8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</row>
    <row r="97" spans="1:33" ht="30" customHeight="1" x14ac:dyDescent="0.3">
      <c r="A97" s="3"/>
      <c r="B97" s="11" t="s">
        <v>5</v>
      </c>
      <c r="C97" s="19" t="s">
        <v>22</v>
      </c>
      <c r="D97" s="19" t="s">
        <v>22</v>
      </c>
      <c r="E97" s="19" t="s">
        <v>22</v>
      </c>
      <c r="F97" s="19" t="s">
        <v>22</v>
      </c>
      <c r="G97" s="14"/>
      <c r="H97" s="14"/>
      <c r="I97" s="8"/>
      <c r="J97" s="20" t="s">
        <v>30</v>
      </c>
      <c r="K97" s="20" t="s">
        <v>30</v>
      </c>
      <c r="L97" s="20" t="s">
        <v>30</v>
      </c>
      <c r="M97" s="20" t="s">
        <v>30</v>
      </c>
      <c r="N97" s="20" t="s">
        <v>30</v>
      </c>
      <c r="O97" s="20" t="s">
        <v>30</v>
      </c>
      <c r="P97" s="20" t="s">
        <v>30</v>
      </c>
      <c r="Q97" s="20" t="s">
        <v>30</v>
      </c>
      <c r="R97" s="8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</row>
    <row r="98" spans="1:33" ht="22.5" customHeight="1" x14ac:dyDescent="0.3">
      <c r="A98" s="3"/>
      <c r="B98" s="8" t="s">
        <v>14</v>
      </c>
      <c r="C98" s="10">
        <v>45581</v>
      </c>
      <c r="D98" s="10">
        <v>45582</v>
      </c>
      <c r="E98" s="10">
        <v>45583</v>
      </c>
      <c r="F98" s="9">
        <v>45584</v>
      </c>
      <c r="G98" s="9">
        <v>45585</v>
      </c>
      <c r="H98" s="10">
        <v>45586</v>
      </c>
      <c r="I98" s="10">
        <v>45587</v>
      </c>
      <c r="J98" s="10">
        <v>45588</v>
      </c>
      <c r="K98" s="10">
        <v>45589</v>
      </c>
      <c r="L98" s="10">
        <v>45590</v>
      </c>
      <c r="M98" s="9">
        <v>45591</v>
      </c>
      <c r="N98" s="9">
        <v>45592</v>
      </c>
      <c r="O98" s="10">
        <v>45593</v>
      </c>
      <c r="P98" s="10">
        <v>45594</v>
      </c>
      <c r="Q98" s="10">
        <v>45595</v>
      </c>
      <c r="R98" s="10">
        <v>45596</v>
      </c>
    </row>
    <row r="99" spans="1:33" ht="30" customHeight="1" x14ac:dyDescent="0.3">
      <c r="A99" s="3"/>
      <c r="B99" s="11" t="s">
        <v>2</v>
      </c>
      <c r="C99" s="18" t="s">
        <v>29</v>
      </c>
      <c r="D99" s="18" t="s">
        <v>29</v>
      </c>
      <c r="E99" s="18" t="s">
        <v>29</v>
      </c>
      <c r="F99" s="18" t="s">
        <v>29</v>
      </c>
      <c r="G99" s="18" t="s">
        <v>29</v>
      </c>
      <c r="H99" s="18" t="s">
        <v>29</v>
      </c>
      <c r="I99" s="18" t="s">
        <v>29</v>
      </c>
      <c r="J99" s="18" t="s">
        <v>29</v>
      </c>
      <c r="K99" s="18" t="s">
        <v>29</v>
      </c>
      <c r="L99" s="18" t="s">
        <v>29</v>
      </c>
      <c r="M99" s="18" t="s">
        <v>29</v>
      </c>
      <c r="N99" s="18" t="s">
        <v>29</v>
      </c>
      <c r="O99" s="18" t="s">
        <v>29</v>
      </c>
      <c r="P99" s="18" t="s">
        <v>29</v>
      </c>
      <c r="Q99" s="18" t="s">
        <v>29</v>
      </c>
      <c r="R99" s="18" t="s">
        <v>29</v>
      </c>
    </row>
    <row r="100" spans="1:33" ht="30" customHeight="1" x14ac:dyDescent="0.3">
      <c r="A100" s="3"/>
      <c r="B100" s="11" t="s">
        <v>3</v>
      </c>
      <c r="C100" s="18" t="s">
        <v>27</v>
      </c>
      <c r="D100" s="18" t="s">
        <v>27</v>
      </c>
      <c r="E100" s="18" t="s">
        <v>27</v>
      </c>
      <c r="F100" s="18" t="s">
        <v>27</v>
      </c>
      <c r="G100" s="18" t="s">
        <v>27</v>
      </c>
      <c r="H100" s="18" t="s">
        <v>27</v>
      </c>
      <c r="I100" s="18" t="s">
        <v>27</v>
      </c>
      <c r="J100" s="18" t="s">
        <v>27</v>
      </c>
      <c r="K100" s="18" t="s">
        <v>27</v>
      </c>
      <c r="L100" s="18" t="s">
        <v>27</v>
      </c>
      <c r="M100" s="18" t="s">
        <v>27</v>
      </c>
      <c r="N100" s="18" t="s">
        <v>27</v>
      </c>
      <c r="O100" s="18" t="s">
        <v>27</v>
      </c>
      <c r="P100" s="18" t="s">
        <v>27</v>
      </c>
      <c r="Q100" s="18" t="s">
        <v>27</v>
      </c>
      <c r="R100" s="18" t="s">
        <v>27</v>
      </c>
    </row>
    <row r="101" spans="1:33" ht="30" customHeight="1" x14ac:dyDescent="0.3">
      <c r="A101" s="3"/>
      <c r="B101" s="11" t="s">
        <v>4</v>
      </c>
      <c r="C101" s="18" t="s">
        <v>28</v>
      </c>
      <c r="D101" s="18" t="s">
        <v>28</v>
      </c>
      <c r="E101" s="18" t="s">
        <v>28</v>
      </c>
      <c r="F101" s="18" t="s">
        <v>28</v>
      </c>
      <c r="G101" s="18" t="s">
        <v>28</v>
      </c>
      <c r="H101" s="18" t="s">
        <v>28</v>
      </c>
      <c r="I101" s="18" t="s">
        <v>28</v>
      </c>
      <c r="J101" s="18" t="s">
        <v>28</v>
      </c>
      <c r="K101" s="18" t="s">
        <v>28</v>
      </c>
      <c r="L101" s="18" t="s">
        <v>28</v>
      </c>
      <c r="M101" s="18" t="s">
        <v>28</v>
      </c>
      <c r="N101" s="18" t="s">
        <v>28</v>
      </c>
      <c r="O101" s="18" t="s">
        <v>28</v>
      </c>
      <c r="P101" s="18" t="s">
        <v>28</v>
      </c>
      <c r="Q101" s="18" t="s">
        <v>28</v>
      </c>
      <c r="R101" s="18" t="s">
        <v>28</v>
      </c>
    </row>
    <row r="102" spans="1:33" ht="30" customHeight="1" x14ac:dyDescent="0.3">
      <c r="A102" s="3"/>
      <c r="B102" s="11" t="s">
        <v>5</v>
      </c>
      <c r="C102" s="20" t="s">
        <v>30</v>
      </c>
      <c r="D102" s="20" t="s">
        <v>30</v>
      </c>
      <c r="E102" s="20" t="s">
        <v>30</v>
      </c>
      <c r="F102" s="20" t="s">
        <v>30</v>
      </c>
      <c r="G102" s="20" t="s">
        <v>30</v>
      </c>
      <c r="H102" s="20" t="s">
        <v>30</v>
      </c>
      <c r="I102" s="20" t="s">
        <v>30</v>
      </c>
      <c r="J102" s="20" t="s">
        <v>30</v>
      </c>
      <c r="K102" s="20" t="s">
        <v>30</v>
      </c>
      <c r="L102" s="20" t="s">
        <v>30</v>
      </c>
      <c r="M102" s="20" t="s">
        <v>30</v>
      </c>
      <c r="N102" s="20" t="s">
        <v>30</v>
      </c>
      <c r="O102" s="20" t="s">
        <v>30</v>
      </c>
      <c r="P102" s="20" t="s">
        <v>30</v>
      </c>
      <c r="Q102" s="20" t="s">
        <v>30</v>
      </c>
      <c r="R102" s="20" t="s">
        <v>30</v>
      </c>
    </row>
    <row r="103" spans="1:33" ht="25.5" customHeight="1" x14ac:dyDescent="0.3">
      <c r="A103" s="3"/>
      <c r="B103" s="8" t="s">
        <v>15</v>
      </c>
      <c r="C103" s="9">
        <v>45597</v>
      </c>
      <c r="D103" s="9">
        <v>45598</v>
      </c>
      <c r="E103" s="9">
        <v>45599</v>
      </c>
      <c r="F103" s="10">
        <v>45600</v>
      </c>
      <c r="G103" s="10">
        <v>45601</v>
      </c>
      <c r="H103" s="10">
        <v>45602</v>
      </c>
      <c r="I103" s="10">
        <v>45603</v>
      </c>
      <c r="J103" s="10">
        <v>45604</v>
      </c>
      <c r="K103" s="9">
        <v>45605</v>
      </c>
      <c r="L103" s="9">
        <v>45606</v>
      </c>
      <c r="M103" s="10">
        <v>45607</v>
      </c>
      <c r="N103" s="10">
        <v>45608</v>
      </c>
      <c r="O103" s="10">
        <v>45609</v>
      </c>
      <c r="P103" s="10">
        <v>45610</v>
      </c>
      <c r="Q103" s="10">
        <v>45611</v>
      </c>
      <c r="R103" s="17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</row>
    <row r="104" spans="1:33" ht="30" customHeight="1" x14ac:dyDescent="0.3">
      <c r="A104" s="3"/>
      <c r="B104" s="11" t="s">
        <v>2</v>
      </c>
      <c r="C104" s="18" t="s">
        <v>29</v>
      </c>
      <c r="D104" s="18" t="s">
        <v>29</v>
      </c>
      <c r="E104" s="18" t="s">
        <v>29</v>
      </c>
      <c r="F104" s="18" t="s">
        <v>29</v>
      </c>
      <c r="G104" s="18" t="s">
        <v>29</v>
      </c>
      <c r="H104" s="18" t="s">
        <v>29</v>
      </c>
      <c r="I104" s="18" t="s">
        <v>29</v>
      </c>
      <c r="J104" s="18" t="s">
        <v>29</v>
      </c>
      <c r="K104" s="18" t="s">
        <v>29</v>
      </c>
      <c r="L104" s="18" t="s">
        <v>29</v>
      </c>
      <c r="M104" s="18" t="s">
        <v>29</v>
      </c>
      <c r="N104" s="18" t="s">
        <v>29</v>
      </c>
      <c r="O104" s="18" t="s">
        <v>29</v>
      </c>
      <c r="P104" s="18" t="s">
        <v>29</v>
      </c>
      <c r="Q104" s="18" t="s">
        <v>29</v>
      </c>
      <c r="R104" s="8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</row>
    <row r="105" spans="1:33" ht="30" customHeight="1" x14ac:dyDescent="0.3">
      <c r="A105" s="3"/>
      <c r="B105" s="11" t="s">
        <v>5</v>
      </c>
      <c r="C105" s="18" t="s">
        <v>27</v>
      </c>
      <c r="D105" s="18" t="s">
        <v>27</v>
      </c>
      <c r="E105" s="18" t="s">
        <v>27</v>
      </c>
      <c r="F105" s="18" t="s">
        <v>27</v>
      </c>
      <c r="G105" s="18" t="s">
        <v>27</v>
      </c>
      <c r="H105" s="18" t="s">
        <v>27</v>
      </c>
      <c r="I105" s="18" t="s">
        <v>27</v>
      </c>
      <c r="J105" s="18" t="s">
        <v>27</v>
      </c>
      <c r="K105" s="18" t="s">
        <v>27</v>
      </c>
      <c r="L105" s="18" t="s">
        <v>27</v>
      </c>
      <c r="M105" s="18" t="s">
        <v>27</v>
      </c>
      <c r="N105" s="18" t="s">
        <v>27</v>
      </c>
      <c r="O105" s="8"/>
      <c r="P105" s="8"/>
      <c r="Q105" s="8"/>
      <c r="R105" s="8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</row>
    <row r="106" spans="1:33" ht="30" customHeight="1" x14ac:dyDescent="0.3">
      <c r="A106" s="3"/>
      <c r="B106" s="11" t="s">
        <v>4</v>
      </c>
      <c r="C106" s="18" t="s">
        <v>28</v>
      </c>
      <c r="D106" s="18" t="s">
        <v>28</v>
      </c>
      <c r="E106" s="18" t="s">
        <v>28</v>
      </c>
      <c r="F106" s="18" t="s">
        <v>28</v>
      </c>
      <c r="G106" s="8"/>
      <c r="H106" s="8"/>
      <c r="I106" s="8"/>
      <c r="J106" s="8"/>
      <c r="K106" s="14"/>
      <c r="L106" s="14"/>
      <c r="M106" s="8"/>
      <c r="N106" s="8"/>
      <c r="O106" s="8"/>
      <c r="P106" s="8"/>
      <c r="Q106" s="8" t="s">
        <v>31</v>
      </c>
      <c r="R106" s="8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</row>
    <row r="107" spans="1:33" ht="30" customHeight="1" x14ac:dyDescent="0.3">
      <c r="A107" s="3"/>
      <c r="B107" s="11" t="s">
        <v>3</v>
      </c>
      <c r="C107" s="20" t="s">
        <v>30</v>
      </c>
      <c r="D107" s="20" t="s">
        <v>30</v>
      </c>
      <c r="E107" s="20" t="s">
        <v>30</v>
      </c>
      <c r="F107" s="20" t="s">
        <v>30</v>
      </c>
      <c r="G107" s="20" t="s">
        <v>30</v>
      </c>
      <c r="H107" s="20" t="s">
        <v>30</v>
      </c>
      <c r="I107" s="20" t="s">
        <v>30</v>
      </c>
      <c r="J107" s="20" t="s">
        <v>30</v>
      </c>
      <c r="K107" s="20" t="s">
        <v>30</v>
      </c>
      <c r="L107" s="20" t="s">
        <v>30</v>
      </c>
      <c r="M107" s="20" t="s">
        <v>30</v>
      </c>
      <c r="N107" s="20" t="s">
        <v>30</v>
      </c>
      <c r="O107" s="20" t="s">
        <v>30</v>
      </c>
      <c r="P107" s="20" t="s">
        <v>30</v>
      </c>
      <c r="Q107" s="20" t="s">
        <v>30</v>
      </c>
      <c r="R107" s="8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</row>
    <row r="108" spans="1:33" ht="22.5" customHeight="1" x14ac:dyDescent="0.3">
      <c r="A108" s="3"/>
      <c r="B108" s="8" t="s">
        <v>15</v>
      </c>
      <c r="C108" s="9">
        <v>45612</v>
      </c>
      <c r="D108" s="9">
        <v>45613</v>
      </c>
      <c r="E108" s="10">
        <v>45614</v>
      </c>
      <c r="F108" s="10">
        <v>45615</v>
      </c>
      <c r="G108" s="10">
        <v>45616</v>
      </c>
      <c r="H108" s="10">
        <v>45617</v>
      </c>
      <c r="I108" s="10">
        <v>45618</v>
      </c>
      <c r="J108" s="9">
        <v>45619</v>
      </c>
      <c r="K108" s="9">
        <v>45620</v>
      </c>
      <c r="L108" s="10">
        <v>45621</v>
      </c>
      <c r="M108" s="10">
        <v>45622</v>
      </c>
      <c r="N108" s="10">
        <v>45623</v>
      </c>
      <c r="O108" s="10">
        <v>45624</v>
      </c>
      <c r="P108" s="10">
        <v>45625</v>
      </c>
      <c r="Q108" s="9">
        <v>45626</v>
      </c>
      <c r="R108" s="17"/>
    </row>
    <row r="109" spans="1:33" ht="30" customHeight="1" x14ac:dyDescent="0.3">
      <c r="A109" s="3"/>
      <c r="B109" s="11" t="s">
        <v>2</v>
      </c>
      <c r="C109" s="18" t="s">
        <v>29</v>
      </c>
      <c r="D109" s="18" t="s">
        <v>29</v>
      </c>
      <c r="E109" s="18" t="s">
        <v>29</v>
      </c>
      <c r="F109" s="18" t="s">
        <v>29</v>
      </c>
      <c r="G109" s="8"/>
      <c r="H109" s="8"/>
      <c r="I109" s="8"/>
      <c r="J109" s="14"/>
      <c r="K109" s="14"/>
      <c r="L109" s="8"/>
      <c r="M109" s="8"/>
      <c r="N109" s="8"/>
      <c r="O109" s="8"/>
      <c r="P109" s="8"/>
      <c r="Q109" s="14"/>
      <c r="R109" s="8"/>
    </row>
    <row r="110" spans="1:33" ht="30" customHeight="1" x14ac:dyDescent="0.3">
      <c r="A110" s="3"/>
      <c r="B110" s="11" t="s">
        <v>3</v>
      </c>
      <c r="C110" s="20" t="s">
        <v>30</v>
      </c>
      <c r="D110" s="20" t="s">
        <v>30</v>
      </c>
      <c r="E110" s="20" t="s">
        <v>30</v>
      </c>
      <c r="F110" s="20" t="s">
        <v>30</v>
      </c>
      <c r="G110" s="20" t="s">
        <v>30</v>
      </c>
      <c r="H110" s="20" t="s">
        <v>30</v>
      </c>
      <c r="I110" s="20" t="s">
        <v>30</v>
      </c>
      <c r="J110" s="20" t="s">
        <v>30</v>
      </c>
      <c r="K110" s="20" t="s">
        <v>30</v>
      </c>
      <c r="L110" s="20" t="s">
        <v>30</v>
      </c>
      <c r="M110" s="20" t="s">
        <v>30</v>
      </c>
      <c r="N110" s="20" t="s">
        <v>30</v>
      </c>
      <c r="O110" s="8"/>
      <c r="P110" s="8"/>
      <c r="Q110" s="14"/>
      <c r="R110" s="8"/>
    </row>
    <row r="111" spans="1:33" ht="30" customHeight="1" x14ac:dyDescent="0.3">
      <c r="A111" s="3"/>
      <c r="B111" s="11" t="s">
        <v>4</v>
      </c>
      <c r="C111" s="14"/>
      <c r="D111" s="14"/>
      <c r="G111" s="8"/>
      <c r="H111" s="8"/>
      <c r="I111" s="8"/>
      <c r="J111" s="14"/>
      <c r="K111" s="14"/>
      <c r="L111" s="8"/>
      <c r="M111" s="8"/>
      <c r="N111" s="8"/>
      <c r="O111" s="8"/>
      <c r="P111" s="8"/>
      <c r="Q111" s="14"/>
      <c r="R111" s="8"/>
    </row>
    <row r="112" spans="1:33" ht="30" customHeight="1" x14ac:dyDescent="0.3">
      <c r="A112" s="3"/>
      <c r="B112" s="11" t="s">
        <v>5</v>
      </c>
      <c r="C112" s="18" t="s">
        <v>31</v>
      </c>
      <c r="D112" s="18" t="s">
        <v>31</v>
      </c>
      <c r="E112" s="18" t="s">
        <v>31</v>
      </c>
      <c r="F112" s="18" t="s">
        <v>31</v>
      </c>
      <c r="G112" s="18" t="s">
        <v>31</v>
      </c>
      <c r="H112" s="18" t="s">
        <v>31</v>
      </c>
      <c r="I112" s="18" t="s">
        <v>31</v>
      </c>
      <c r="J112" s="18" t="s">
        <v>31</v>
      </c>
      <c r="K112" s="18" t="s">
        <v>31</v>
      </c>
      <c r="L112" s="18" t="s">
        <v>31</v>
      </c>
      <c r="M112" s="18" t="s">
        <v>31</v>
      </c>
      <c r="N112" s="18" t="s">
        <v>31</v>
      </c>
      <c r="O112" s="18" t="s">
        <v>31</v>
      </c>
      <c r="P112" s="18" t="s">
        <v>31</v>
      </c>
      <c r="Q112" s="18" t="s">
        <v>31</v>
      </c>
      <c r="R112" s="8"/>
    </row>
    <row r="113" spans="1:33" ht="25.5" customHeight="1" x14ac:dyDescent="0.3">
      <c r="A113" s="3"/>
      <c r="B113" s="8" t="s">
        <v>16</v>
      </c>
      <c r="C113" s="9">
        <v>45627</v>
      </c>
      <c r="D113" s="10">
        <v>45628</v>
      </c>
      <c r="E113" s="10">
        <v>45629</v>
      </c>
      <c r="F113" s="10">
        <v>45630</v>
      </c>
      <c r="G113" s="10">
        <v>45631</v>
      </c>
      <c r="H113" s="10">
        <v>45632</v>
      </c>
      <c r="I113" s="9">
        <v>45633</v>
      </c>
      <c r="J113" s="9">
        <v>45634</v>
      </c>
      <c r="K113" s="9">
        <v>45635</v>
      </c>
      <c r="L113" s="10">
        <v>45636</v>
      </c>
      <c r="M113" s="10">
        <v>45637</v>
      </c>
      <c r="N113" s="10">
        <v>45638</v>
      </c>
      <c r="O113" s="10">
        <v>45639</v>
      </c>
      <c r="P113" s="9">
        <v>45640</v>
      </c>
      <c r="Q113" s="9">
        <v>45641</v>
      </c>
      <c r="R113" s="17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</row>
    <row r="114" spans="1:33" ht="30" customHeight="1" x14ac:dyDescent="0.3">
      <c r="A114" s="3"/>
      <c r="B114" s="11" t="s">
        <v>2</v>
      </c>
      <c r="C114" s="14"/>
      <c r="D114" s="8"/>
      <c r="E114" s="8"/>
      <c r="F114" s="8"/>
      <c r="G114" s="8"/>
      <c r="H114" s="8"/>
      <c r="I114" s="14"/>
      <c r="J114" s="14"/>
      <c r="K114" s="14"/>
      <c r="L114" s="8"/>
      <c r="M114" s="8"/>
      <c r="N114" s="8"/>
      <c r="O114" s="8"/>
      <c r="P114" s="14"/>
      <c r="Q114" s="14"/>
      <c r="R114" s="8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</row>
    <row r="115" spans="1:33" ht="30" customHeight="1" x14ac:dyDescent="0.3">
      <c r="A115" s="3"/>
      <c r="B115" s="11" t="s">
        <v>3</v>
      </c>
      <c r="C115" s="14"/>
      <c r="D115" s="8"/>
      <c r="E115" s="8"/>
      <c r="F115" s="8"/>
      <c r="G115" s="8"/>
      <c r="H115" s="8"/>
      <c r="I115" s="14"/>
      <c r="J115" s="14"/>
      <c r="K115" s="14"/>
      <c r="L115" s="8"/>
      <c r="M115" s="8"/>
      <c r="N115" s="8"/>
      <c r="O115" s="8"/>
      <c r="P115" s="14"/>
      <c r="Q115" s="14"/>
      <c r="R115" s="8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</row>
    <row r="116" spans="1:33" ht="30" customHeight="1" x14ac:dyDescent="0.3">
      <c r="A116" s="3"/>
      <c r="B116" s="11" t="s">
        <v>4</v>
      </c>
      <c r="C116" s="14"/>
      <c r="D116" s="8"/>
      <c r="E116" s="8"/>
      <c r="F116" s="8"/>
      <c r="G116" s="8"/>
      <c r="H116" s="8"/>
      <c r="I116" s="14"/>
      <c r="J116" s="14"/>
      <c r="K116" s="14"/>
      <c r="L116" s="8"/>
      <c r="M116" s="8"/>
      <c r="N116" s="8"/>
      <c r="O116" s="8"/>
      <c r="P116" s="14"/>
      <c r="Q116" s="14"/>
      <c r="R116" s="8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</row>
    <row r="117" spans="1:33" ht="30" customHeight="1" x14ac:dyDescent="0.3">
      <c r="A117" s="3"/>
      <c r="B117" s="11" t="s">
        <v>5</v>
      </c>
      <c r="C117" s="18" t="s">
        <v>31</v>
      </c>
      <c r="D117" s="18" t="s">
        <v>31</v>
      </c>
      <c r="E117" s="18" t="s">
        <v>31</v>
      </c>
      <c r="F117" s="18" t="s">
        <v>31</v>
      </c>
      <c r="G117" s="18" t="s">
        <v>31</v>
      </c>
      <c r="H117" s="18" t="s">
        <v>31</v>
      </c>
      <c r="I117" s="18" t="s">
        <v>31</v>
      </c>
      <c r="J117" s="18" t="s">
        <v>31</v>
      </c>
      <c r="K117" s="18" t="s">
        <v>31</v>
      </c>
      <c r="L117" s="18" t="s">
        <v>31</v>
      </c>
      <c r="M117" s="18" t="s">
        <v>31</v>
      </c>
      <c r="N117" s="18" t="s">
        <v>31</v>
      </c>
      <c r="O117" s="18" t="s">
        <v>31</v>
      </c>
      <c r="P117" s="18" t="s">
        <v>31</v>
      </c>
      <c r="Q117" s="18" t="s">
        <v>31</v>
      </c>
      <c r="R117" s="8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</row>
    <row r="118" spans="1:33" ht="22.5" customHeight="1" x14ac:dyDescent="0.3">
      <c r="A118" s="3"/>
      <c r="B118" s="8" t="s">
        <v>16</v>
      </c>
      <c r="C118" s="10">
        <v>45642</v>
      </c>
      <c r="D118" s="10">
        <v>45643</v>
      </c>
      <c r="E118" s="10">
        <v>45644</v>
      </c>
      <c r="F118" s="10">
        <v>45645</v>
      </c>
      <c r="G118" s="10">
        <v>45646</v>
      </c>
      <c r="H118" s="9">
        <v>45647</v>
      </c>
      <c r="I118" s="9">
        <v>45648</v>
      </c>
      <c r="J118" s="10">
        <v>45649</v>
      </c>
      <c r="K118" s="9">
        <v>45650</v>
      </c>
      <c r="L118" s="9">
        <v>45651</v>
      </c>
      <c r="M118" s="10">
        <v>45652</v>
      </c>
      <c r="N118" s="10">
        <v>45653</v>
      </c>
      <c r="O118" s="9">
        <v>45654</v>
      </c>
      <c r="P118" s="9">
        <v>45655</v>
      </c>
      <c r="Q118" s="10">
        <v>45656</v>
      </c>
      <c r="R118" s="10">
        <v>45657</v>
      </c>
    </row>
    <row r="119" spans="1:33" ht="30" customHeight="1" x14ac:dyDescent="0.3">
      <c r="A119" s="3"/>
      <c r="B119" s="11" t="s">
        <v>2</v>
      </c>
      <c r="C119" s="8"/>
      <c r="D119" s="8"/>
      <c r="E119" s="8"/>
      <c r="F119" s="8"/>
      <c r="G119" s="8"/>
      <c r="H119" s="14"/>
      <c r="I119" s="14"/>
      <c r="J119" s="8"/>
      <c r="K119" s="14"/>
      <c r="L119" s="14"/>
      <c r="M119" s="8"/>
      <c r="N119" s="8"/>
      <c r="O119" s="14"/>
      <c r="P119" s="14"/>
      <c r="Q119" s="8"/>
      <c r="R119" s="8"/>
    </row>
    <row r="120" spans="1:33" ht="30" customHeight="1" x14ac:dyDescent="0.3">
      <c r="A120" s="3"/>
      <c r="B120" s="11" t="s">
        <v>3</v>
      </c>
      <c r="C120" s="8"/>
      <c r="D120" s="8"/>
      <c r="E120" s="8"/>
      <c r="F120" s="8"/>
      <c r="G120" s="8"/>
      <c r="H120" s="14"/>
      <c r="I120" s="14"/>
      <c r="J120" s="8"/>
      <c r="K120" s="14"/>
      <c r="L120" s="14"/>
      <c r="M120" s="8"/>
      <c r="N120" s="8"/>
      <c r="O120" s="14"/>
      <c r="P120" s="14"/>
      <c r="Q120" s="8"/>
      <c r="R120" s="8"/>
    </row>
    <row r="121" spans="1:33" ht="30" customHeight="1" x14ac:dyDescent="0.3">
      <c r="A121" s="3"/>
      <c r="B121" s="11" t="s">
        <v>4</v>
      </c>
      <c r="C121" s="8"/>
      <c r="D121" s="8"/>
      <c r="E121" s="8"/>
      <c r="F121" s="8"/>
      <c r="G121" s="8"/>
      <c r="H121" s="14"/>
      <c r="I121" s="14"/>
      <c r="J121" s="8"/>
      <c r="K121" s="14"/>
      <c r="L121" s="14"/>
      <c r="M121" s="8"/>
      <c r="N121" s="8"/>
      <c r="O121" s="14"/>
      <c r="P121" s="14"/>
      <c r="Q121" s="8"/>
      <c r="R121" s="8"/>
    </row>
    <row r="122" spans="1:33" ht="30" customHeight="1" x14ac:dyDescent="0.3">
      <c r="A122" s="3"/>
      <c r="B122" s="11" t="s">
        <v>5</v>
      </c>
      <c r="C122" s="18" t="s">
        <v>31</v>
      </c>
      <c r="D122" s="18" t="s">
        <v>31</v>
      </c>
      <c r="E122" s="18" t="s">
        <v>31</v>
      </c>
      <c r="F122" s="18" t="s">
        <v>31</v>
      </c>
      <c r="G122" s="18" t="s">
        <v>31</v>
      </c>
      <c r="H122" s="18" t="s">
        <v>31</v>
      </c>
      <c r="I122" s="18" t="s">
        <v>31</v>
      </c>
      <c r="J122" s="18" t="s">
        <v>31</v>
      </c>
      <c r="K122" s="18" t="s">
        <v>31</v>
      </c>
      <c r="L122" s="18" t="s">
        <v>31</v>
      </c>
      <c r="M122" s="18" t="s">
        <v>31</v>
      </c>
      <c r="N122" s="18" t="s">
        <v>31</v>
      </c>
      <c r="O122" s="14"/>
      <c r="P122" s="14"/>
      <c r="Q122" s="8"/>
      <c r="R122" s="8"/>
    </row>
    <row r="123" spans="1:33" ht="18" x14ac:dyDescent="0.35"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C1:R1"/>
  </mergeCells>
  <phoneticPr fontId="5" type="noConversion"/>
  <dataValidations count="6">
    <dataValidation allowBlank="1" showInputMessage="1" showErrorMessage="1" prompt="Usare questo calendario perpetuo orizzontale per creare un calendario per qualsiasi anno. Immettere l'anno nella cella a destra e le note giornaliere per ogni mese a partire dalla cella B2" sqref="A1" xr:uid="{CC12C9F3-307B-43D3-AB8B-19886B8EFB88}"/>
    <dataValidation allowBlank="1" showInputMessage="1" showErrorMessage="1" prompt="Immettere l'anno in questa cella" sqref="B1" xr:uid="{CF14F610-DA6C-40DD-8785-09CF21B269F6}"/>
    <dataValidation allowBlank="1" showInputMessage="1" showErrorMessage="1" prompt="Questa cella contiene il titolo del foglio di lavoro" sqref="C1" xr:uid="{6434EA45-A506-49AA-A3CE-66673D031008}"/>
    <dataValidation allowBlank="1" showInputMessage="1" showErrorMessage="1" prompt="Immettere le note giornaliere per questo mese nelle celle da C8 a AG11 a destra" sqref="B4:B7 B9:B12 B14:B17 B19:B22 B24:B27 B29:B32 B34:B37 B39:B42 B44:B47 B49:B52 B54:B57 B59:B62 B64:B67 B69:B72 B74:B77 B79:B82 B84:B87 B89:B92 B94:B97 B99:B102 B104:B107 B109:B112 B114:B117 B119:B122" xr:uid="{8FD48882-1D15-4E56-A9D3-51E7FB3070D8}"/>
    <dataValidation allowBlank="1" showInputMessage="1" showErrorMessage="1" prompt="Immettere le note giornaliere per questo mese nelle celle da C33 a AG36 a destra" sqref="B8 B13 B18 B23 B28 B33 B38 B43 B48 B53 B58 B63 B68 B73 B78 B83 B88 B93 B98 B103 B108 B113 B118 B2:B3" xr:uid="{2EC0F1D0-2BA3-4A79-BB3E-C4227F4ED542}"/>
    <dataValidation allowBlank="1" showInputMessage="1" showErrorMessage="1" prompt="I giorni del calendario per il mese nella colonna B si trovano in questa riga, dalla colonna C alla colonna AG. Immettere le note nelle celle sottostanti" sqref="C8:S8 F2 H2 J2 L2 P2:R2 C13:R13 N2 C2:C3 D2 M2:M3 C18:Q18 C103:Q103 I2:I3 K2:K3 C23:R23 C28:S28 C33:R33 C38:R38 G2:G3 E2:E3 C58:Q58 C68:R68 C118:R118 C113:Q113 O2:O3 Q3 C88:Q88 C83:Q83 C63:Q63 C48:R48 C53:Q53 C98:R98 C108:Q108 C43:R43 C73:Q73 C78:R78 C93:Q93" xr:uid="{C29559F5-39B8-4BBE-B292-82E63CCFC3BB}"/>
  </dataValidations>
  <printOptions horizontalCentered="1" gridLines="1"/>
  <pageMargins left="0.25" right="0.25" top="0.75" bottom="0.75" header="0.3" footer="0.3"/>
  <pageSetup scale="48" fitToHeight="0" orientation="landscape" r:id="rId1"/>
  <headerFooter differentFirst="1" alignWithMargins="0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A5BD-7573-4019-94B9-114BEAE9158C}">
  <sheetPr codeName="Sheet2">
    <pageSetUpPr fitToPage="1"/>
  </sheetPr>
  <dimension ref="A1:AH122"/>
  <sheetViews>
    <sheetView tabSelected="1" zoomScale="90" zoomScaleNormal="90" workbookViewId="0">
      <selection activeCell="AM18" sqref="AM18"/>
    </sheetView>
  </sheetViews>
  <sheetFormatPr defaultRowHeight="14.4" x14ac:dyDescent="0.3"/>
  <cols>
    <col min="1" max="1" width="11.6640625" style="21" customWidth="1"/>
    <col min="2" max="2" width="13.109375" style="21" bestFit="1" customWidth="1"/>
    <col min="3" max="3" width="13.21875" style="21" bestFit="1" customWidth="1"/>
    <col min="4" max="7" width="13.109375" style="21" bestFit="1" customWidth="1"/>
    <col min="8" max="8" width="13.33203125" style="21" bestFit="1" customWidth="1"/>
    <col min="9" max="9" width="13.109375" style="21" bestFit="1" customWidth="1"/>
    <col min="10" max="10" width="13.21875" style="21" bestFit="1" customWidth="1"/>
    <col min="11" max="12" width="13.109375" style="21" bestFit="1" customWidth="1"/>
    <col min="13" max="13" width="13.21875" style="21" bestFit="1" customWidth="1"/>
    <col min="14" max="14" width="13.109375" style="21" bestFit="1" customWidth="1"/>
    <col min="15" max="15" width="13.33203125" style="21" bestFit="1" customWidth="1"/>
    <col min="16" max="16" width="13.44140625" style="21" bestFit="1" customWidth="1"/>
    <col min="17" max="17" width="13.21875" style="21" bestFit="1" customWidth="1"/>
    <col min="19" max="19" width="14.5546875" style="23" customWidth="1"/>
    <col min="20" max="20" width="18.21875" style="23" customWidth="1"/>
    <col min="21" max="21" width="13.109375" style="29" customWidth="1"/>
    <col min="22" max="22" width="15.109375" style="29" customWidth="1"/>
    <col min="24" max="24" width="8.77734375" customWidth="1"/>
    <col min="25" max="25" width="8.21875" hidden="1" customWidth="1"/>
    <col min="26" max="26" width="12.5546875" hidden="1" customWidth="1"/>
    <col min="27" max="27" width="21.88671875" hidden="1" customWidth="1"/>
    <col min="28" max="28" width="21.33203125" hidden="1" customWidth="1"/>
    <col min="29" max="29" width="14.109375" hidden="1" customWidth="1"/>
    <col min="30" max="30" width="4.6640625" hidden="1" customWidth="1"/>
    <col min="31" max="31" width="7.109375" style="25" hidden="1" customWidth="1"/>
    <col min="32" max="32" width="13.88671875" hidden="1" customWidth="1"/>
    <col min="33" max="33" width="8.88671875" hidden="1" customWidth="1"/>
    <col min="34" max="34" width="7" style="24" hidden="1" customWidth="1"/>
  </cols>
  <sheetData>
    <row r="1" spans="1:34" ht="28.8" customHeight="1" x14ac:dyDescent="0.3">
      <c r="A1" s="43" t="s">
        <v>37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5"/>
      <c r="S1" s="23" t="s">
        <v>33</v>
      </c>
      <c r="T1" s="23" t="s">
        <v>34</v>
      </c>
      <c r="U1" s="29" t="s">
        <v>35</v>
      </c>
      <c r="V1" s="29" t="s">
        <v>36</v>
      </c>
      <c r="Y1" t="s">
        <v>38</v>
      </c>
      <c r="Z1" t="s">
        <v>34</v>
      </c>
      <c r="AA1" t="s">
        <v>40</v>
      </c>
      <c r="AB1" t="s">
        <v>41</v>
      </c>
      <c r="AC1" t="s">
        <v>42</v>
      </c>
      <c r="AD1" t="s">
        <v>43</v>
      </c>
      <c r="AE1" s="25" t="s">
        <v>44</v>
      </c>
      <c r="AF1" t="s">
        <v>45</v>
      </c>
      <c r="AG1" t="s">
        <v>39</v>
      </c>
      <c r="AH1" s="24" t="s">
        <v>46</v>
      </c>
    </row>
    <row r="2" spans="1:34" ht="15.6" x14ac:dyDescent="0.3">
      <c r="A2" s="33" t="s">
        <v>1</v>
      </c>
      <c r="B2" s="34">
        <v>45658</v>
      </c>
      <c r="C2" s="34">
        <v>45659</v>
      </c>
      <c r="D2" s="34">
        <v>45660</v>
      </c>
      <c r="E2" s="34">
        <v>45661</v>
      </c>
      <c r="F2" s="34">
        <v>45662</v>
      </c>
      <c r="G2" s="34">
        <v>45663</v>
      </c>
      <c r="H2" s="34">
        <v>45664</v>
      </c>
      <c r="I2" s="34">
        <v>45665</v>
      </c>
      <c r="J2" s="34">
        <v>45666</v>
      </c>
      <c r="K2" s="34">
        <v>45667</v>
      </c>
      <c r="L2" s="34">
        <v>45668</v>
      </c>
      <c r="M2" s="34">
        <v>45669</v>
      </c>
      <c r="N2" s="34">
        <v>45670</v>
      </c>
      <c r="O2" s="34">
        <v>45671</v>
      </c>
      <c r="P2" s="34">
        <v>45672</v>
      </c>
      <c r="Y2" t="str">
        <f>IF(S2&lt;&gt;"", S2, "")</f>
        <v/>
      </c>
      <c r="Z2" t="str">
        <f>IF(T2&lt;&gt;"", T2, "")</f>
        <v/>
      </c>
      <c r="AA2" t="str" cm="1">
        <f t="array" ref="AA2">IF(U2="", "", IFERROR(_xlfn.TEXTJOIN(", ", TRUE, IF((A$1:V$200=U2)*(ROW(A$1:V$200)&lt;&gt;ROW(U2))*(COLUMN(A$1:V$200)&lt;&gt;COLUMN(U2)), ADDRESS(ROW(A$1:V$200), COLUMN(A$1:V$200)), "")), "No Match"))</f>
        <v/>
      </c>
      <c r="AB2" t="str" cm="1">
        <f t="array" ref="AB2">IF(V2="", "", IFERROR(_xlfn.TEXTJOIN(", ", TRUE, IF((A$1:V$200=V2)*(ROW(A$1:V$200)&lt;&gt;ROW(V2))*(COLUMN(A$1:V$200)&lt;&gt;COLUMN(V2)), ADDRESS(ROW(A$1:V$200), COLUMN(A$1:V$200)), "")), "No Match"))</f>
        <v/>
      </c>
      <c r="AC2" t="str">
        <f t="shared" ref="AC2:AC33" si="0">IF(AA2 = "", "", "A[" &amp; MID(AA2, FIND("$", AA2, FIND("$", AA2)+1) + 1, LEN(AA2)) + 1 &amp; ", " &amp; MID(AA2, FIND("$", AA2, FIND("$", AA2)+1) + 1, LEN(AA2)) + 4 &amp; "]")</f>
        <v/>
      </c>
      <c r="AD2" t="str" cm="1">
        <f t="array" ref="AD2">IFERROR(_xlfn.TEXTJOIN(", ", TRUE, IF(INDEX(A:A, MID(AC2, FIND("[", AC2) + 1, FIND(",", AC2) - FIND("[", AC2) - 1) * 1):INDEX(A:A, MID(AC2, FIND(",", AC2) + 1, FIND("]", AC2) - FIND(",", AC2) - 1) * 1) = Y2, ROW(INDEX(A:A, MID(AC2, FIND("[", AC2) + 1, FIND(",", AC2) - FIND("[", AC2) - 1) * 1):INDEX(A:A, MID(AC2, FIND(",", AC2) + 1, FIND("]", AC2) - FIND(",", AC2) - 1) * 1)), "")), "")</f>
        <v/>
      </c>
      <c r="AE2" s="25" t="str">
        <f t="shared" ref="AE2:AE33" si="1">IF(OR(ISBLANK(AA2), ISBLANK(AD2), ISERROR(FIND("$", AA2))), "", MID(AA2, FIND("$", AA2) + 1, FIND("$", AA2, FIND("$", AA2) + 1) - FIND("$", AA2) - 1) &amp; AD2)</f>
        <v/>
      </c>
      <c r="AF2" t="str">
        <f t="shared" ref="AF2:AF33" si="2">IF(AB2 = "", "", "A[" &amp; MID(AB2, FIND("$", AB2, FIND("$", AB2) + 1) + 1, LEN(AB2)) + 1 &amp; ", " &amp; MID(AB2, FIND("$", AB2, FIND("$", AB2) + 1) + 1, LEN(AB2)) + 4 &amp; "]")</f>
        <v/>
      </c>
      <c r="AG2" t="str" cm="1">
        <f t="array" ref="AG2">IFERROR(_xlfn.TEXTJOIN(", ", TRUE, IF(INDEX(A:A, MID(AF2, FIND("[", AF2) + 1, FIND(",", AF2) - FIND("[", AF2) - 1) * 1):INDEX(A:A, MID(AF2, FIND(",", AF2) + 1, FIND("]", AF2) - FIND(",", AF2) - 1) * 1) = Y2, ROW(INDEX(A:A, MID(AF2, FIND("[", AF2) + 1, FIND(",", AF2) - FIND("[", AF2) - 1) * 1):INDEX(A:A, MID(AF2, FIND(",", AF2) + 1, FIND("]", AF2) - FIND(",", AF2) - 1) * 1)), "")), "")</f>
        <v/>
      </c>
      <c r="AH2" s="24" t="str">
        <f t="shared" ref="AH2:AH33" si="3">IF(OR(ISBLANK(AB2), ISBLANK(AG2), ISERROR(FIND("$", AB2))), "", MID(AB2, FIND("$", AB2) + 1, FIND("$", AB2, FIND("$", AB2) + 1) - FIND("$", AB2) - 1) &amp; AG2)</f>
        <v/>
      </c>
    </row>
    <row r="3" spans="1:34" x14ac:dyDescent="0.3">
      <c r="A3" s="21" t="s">
        <v>32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S3" s="23" t="s">
        <v>3</v>
      </c>
      <c r="T3" s="23" t="s">
        <v>47</v>
      </c>
      <c r="U3" s="29">
        <v>45664</v>
      </c>
      <c r="V3" s="29">
        <v>45701</v>
      </c>
      <c r="Y3" t="str">
        <f t="shared" ref="Y3:Y50" si="4">IF(S3&lt;&gt;"", S3, "")</f>
        <v>CASA 3</v>
      </c>
      <c r="Z3" t="str">
        <f t="shared" ref="Z3:Z50" si="5">IF(T3&lt;&gt;"", T3, "")</f>
        <v>MARCO</v>
      </c>
      <c r="AA3" t="str" cm="1">
        <f t="array" ref="AA3">IF(U3="", "", IFERROR(_xlfn.TEXTJOIN(", ", TRUE, IF((A$1:V$200=U3)*(ROW(A$1:V$200)&lt;&gt;ROW(U3))*(COLUMN(A$1:V$200)&lt;&gt;COLUMN(U3)), ADDRESS(ROW(A$1:V$200), COLUMN(A$1:V$200)), "")), "No Match"))</f>
        <v>$H$2</v>
      </c>
      <c r="AB3" t="str" cm="1">
        <f t="array" ref="AB3">IF(V3="", "", IFERROR(_xlfn.TEXTJOIN(", ", TRUE, IF((A$1:V$200=V3)*(ROW(A$1:V$200)&lt;&gt;ROW(V3))*(COLUMN(A$1:V$200)&lt;&gt;COLUMN(V3)), ADDRESS(ROW(A$1:V$200), COLUMN(A$1:V$200)), "")), "No Match"))</f>
        <v>$N$12</v>
      </c>
      <c r="AC3" t="str">
        <f t="shared" si="0"/>
        <v>A[3, 6]</v>
      </c>
      <c r="AD3" t="str" cm="1">
        <f t="array" ref="AD3">IFERROR(_xlfn.TEXTJOIN(", ", TRUE, IF(INDEX(A:A, MID(AC3, FIND("[", AC3) + 1, FIND(",", AC3) - FIND("[", AC3) - 1) * 1):INDEX(A:A, MID(AC3, FIND(",", AC3) + 1, FIND("]", AC3) - FIND(",", AC3) - 1) * 1) = Y3, ROW(INDEX(A:A, MID(AC3, FIND("[", AC3) + 1, FIND(",", AC3) - FIND("[", AC3) - 1) * 1):INDEX(A:A, MID(AC3, FIND(",", AC3) + 1, FIND("]", AC3) - FIND(",", AC3) - 1) * 1)), "")), "")</f>
        <v>4</v>
      </c>
      <c r="AE3" s="25" t="str">
        <f t="shared" si="1"/>
        <v>H4</v>
      </c>
      <c r="AF3" t="str">
        <f t="shared" si="2"/>
        <v>A[13, 16]</v>
      </c>
      <c r="AG3" t="str" cm="1">
        <f t="array" ref="AG3">IFERROR(_xlfn.TEXTJOIN(", ", TRUE, IF(INDEX(A:A, MID(AF3, FIND("[", AF3) + 1, FIND(",", AF3) - FIND("[", AF3) - 1) * 1):INDEX(A:A, MID(AF3, FIND(",", AF3) + 1, FIND("]", AF3) - FIND(",", AF3) - 1) * 1) = Y3, ROW(INDEX(A:A, MID(AF3, FIND("[", AF3) + 1, FIND(",", AF3) - FIND("[", AF3) - 1) * 1):INDEX(A:A, MID(AF3, FIND(",", AF3) + 1, FIND("]", AF3) - FIND(",", AF3) - 1) * 1)), "")), "")</f>
        <v>14</v>
      </c>
      <c r="AH3" s="24" t="str">
        <f t="shared" si="3"/>
        <v>N14</v>
      </c>
    </row>
    <row r="4" spans="1:34" x14ac:dyDescent="0.3">
      <c r="A4" s="21" t="s">
        <v>3</v>
      </c>
      <c r="B4" s="30"/>
      <c r="C4" s="30"/>
      <c r="D4" s="30"/>
      <c r="E4" s="30"/>
      <c r="F4" s="30"/>
      <c r="G4" s="30"/>
      <c r="H4" s="37" t="s">
        <v>47</v>
      </c>
      <c r="I4" s="37" t="s">
        <v>47</v>
      </c>
      <c r="J4" s="37" t="s">
        <v>47</v>
      </c>
      <c r="K4" s="37" t="s">
        <v>47</v>
      </c>
      <c r="L4" s="37" t="s">
        <v>47</v>
      </c>
      <c r="M4" s="37" t="s">
        <v>47</v>
      </c>
      <c r="N4" s="37" t="s">
        <v>47</v>
      </c>
      <c r="O4" s="37" t="s">
        <v>47</v>
      </c>
      <c r="P4" s="37" t="s">
        <v>47</v>
      </c>
      <c r="S4" s="23" t="s">
        <v>4</v>
      </c>
      <c r="T4" s="23" t="s">
        <v>48</v>
      </c>
      <c r="U4" s="29">
        <v>45680</v>
      </c>
      <c r="V4" s="29">
        <v>45754</v>
      </c>
      <c r="Y4" t="str">
        <f t="shared" si="4"/>
        <v>CASA 5</v>
      </c>
      <c r="Z4" t="str">
        <f t="shared" si="5"/>
        <v>DANI</v>
      </c>
      <c r="AA4" t="str" cm="1">
        <f t="array" ref="AA4">IF(U4="", "", IFERROR(_xlfn.TEXTJOIN(", ", TRUE, IF((A$1:V$200=U4)*(ROW(A$1:V$200)&lt;&gt;ROW(U4))*(COLUMN(A$1:V$200)&lt;&gt;COLUMN(U4)), ADDRESS(ROW(A$1:V$200), COLUMN(A$1:V$200)), "")), "No Match"))</f>
        <v>$I$7</v>
      </c>
      <c r="AB4" t="str" cm="1">
        <f t="array" ref="AB4">IF(V4="", "", IFERROR(_xlfn.TEXTJOIN(", ", TRUE, IF((A$1:V$200=V4)*(ROW(A$1:V$200)&lt;&gt;ROW(V4))*(COLUMN(A$1:V$200)&lt;&gt;COLUMN(V4)), ADDRESS(ROW(A$1:V$200), COLUMN(A$1:V$200)), "")), "No Match"))</f>
        <v>$H$32</v>
      </c>
      <c r="AC4" t="str">
        <f t="shared" si="0"/>
        <v>A[8, 11]</v>
      </c>
      <c r="AD4" t="str" cm="1">
        <f t="array" ref="AD4">IFERROR(_xlfn.TEXTJOIN(", ", TRUE, IF(INDEX(A:A, MID(AC4, FIND("[", AC4) + 1, FIND(",", AC4) - FIND("[", AC4) - 1) * 1):INDEX(A:A, MID(AC4, FIND(",", AC4) + 1, FIND("]", AC4) - FIND(",", AC4) - 1) * 1) = Y4, ROW(INDEX(A:A, MID(AC4, FIND("[", AC4) + 1, FIND(",", AC4) - FIND("[", AC4) - 1) * 1):INDEX(A:A, MID(AC4, FIND(",", AC4) + 1, FIND("]", AC4) - FIND(",", AC4) - 1) * 1)), "")), "")</f>
        <v>10</v>
      </c>
      <c r="AE4" s="25" t="str">
        <f t="shared" si="1"/>
        <v>I10</v>
      </c>
      <c r="AF4" t="str">
        <f t="shared" si="2"/>
        <v>A[33, 36]</v>
      </c>
      <c r="AG4" t="str" cm="1">
        <f t="array" ref="AG4">IFERROR(_xlfn.TEXTJOIN(", ", TRUE, IF(INDEX(A:A, MID(AF4, FIND("[", AF4) + 1, FIND(",", AF4) - FIND("[", AF4) - 1) * 1):INDEX(A:A, MID(AF4, FIND(",", AF4) + 1, FIND("]", AF4) - FIND(",", AF4) - 1) * 1) = Y4, ROW(INDEX(A:A, MID(AF4, FIND("[", AF4) + 1, FIND(",", AF4) - FIND("[", AF4) - 1) * 1):INDEX(A:A, MID(AF4, FIND(",", AF4) + 1, FIND("]", AF4) - FIND(",", AF4) - 1) * 1)), "")), "")</f>
        <v>35</v>
      </c>
      <c r="AH4" s="24" t="str">
        <f t="shared" si="3"/>
        <v>H35</v>
      </c>
    </row>
    <row r="5" spans="1:34" x14ac:dyDescent="0.3">
      <c r="A5" s="21" t="s">
        <v>4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S5" s="23" t="s">
        <v>5</v>
      </c>
      <c r="T5" s="23" t="s">
        <v>49</v>
      </c>
      <c r="U5" s="29">
        <v>45694</v>
      </c>
      <c r="V5" s="29">
        <v>45727</v>
      </c>
      <c r="Y5" t="str">
        <f t="shared" si="4"/>
        <v>CASA 7</v>
      </c>
      <c r="Z5" t="str">
        <f t="shared" si="5"/>
        <v>ALEX</v>
      </c>
      <c r="AA5" t="str" cm="1">
        <f t="array" ref="AA5">IF(U5="", "", IFERROR(_xlfn.TEXTJOIN(", ", TRUE, IF((A$1:V$200=U5)*(ROW(A$1:V$200)&lt;&gt;ROW(U5))*(COLUMN(A$1:V$200)&lt;&gt;COLUMN(U5)), ADDRESS(ROW(A$1:V$200), COLUMN(A$1:V$200)), "")), "No Match"))</f>
        <v>$G$12</v>
      </c>
      <c r="AB5" t="str" cm="1">
        <f t="array" ref="AB5">IF(V5="", "", IFERROR(_xlfn.TEXTJOIN(", ", TRUE, IF((A$1:V$200=V5)*(ROW(A$1:V$200)&lt;&gt;ROW(V5))*(COLUMN(A$1:V$200)&lt;&gt;COLUMN(V5)), ADDRESS(ROW(A$1:V$200), COLUMN(A$1:V$200)), "")), "No Match"))</f>
        <v>$L$22</v>
      </c>
      <c r="AC5" t="str">
        <f t="shared" si="0"/>
        <v>A[13, 16]</v>
      </c>
      <c r="AD5" t="str" cm="1">
        <f t="array" ref="AD5">IFERROR(_xlfn.TEXTJOIN(", ", TRUE, IF(INDEX(A:A, MID(AC5, FIND("[", AC5) + 1, FIND(",", AC5) - FIND("[", AC5) - 1) * 1):INDEX(A:A, MID(AC5, FIND(",", AC5) + 1, FIND("]", AC5) - FIND(",", AC5) - 1) * 1) = Y5, ROW(INDEX(A:A, MID(AC5, FIND("[", AC5) + 1, FIND(",", AC5) - FIND("[", AC5) - 1) * 1):INDEX(A:A, MID(AC5, FIND(",", AC5) + 1, FIND("]", AC5) - FIND(",", AC5) - 1) * 1)), "")), "")</f>
        <v>16</v>
      </c>
      <c r="AE5" s="25" t="str">
        <f t="shared" si="1"/>
        <v>G16</v>
      </c>
      <c r="AF5" t="str">
        <f t="shared" si="2"/>
        <v>A[23, 26]</v>
      </c>
      <c r="AG5" t="str" cm="1">
        <f t="array" ref="AG5">IFERROR(_xlfn.TEXTJOIN(", ", TRUE, IF(INDEX(A:A, MID(AF5, FIND("[", AF5) + 1, FIND(",", AF5) - FIND("[", AF5) - 1) * 1):INDEX(A:A, MID(AF5, FIND(",", AF5) + 1, FIND("]", AF5) - FIND(",", AF5) - 1) * 1) = Y5, ROW(INDEX(A:A, MID(AF5, FIND("[", AF5) + 1, FIND(",", AF5) - FIND("[", AF5) - 1) * 1):INDEX(A:A, MID(AF5, FIND(",", AF5) + 1, FIND("]", AF5) - FIND(",", AF5) - 1) * 1)), "")), "")</f>
        <v>26</v>
      </c>
      <c r="AH5" s="24" t="str">
        <f t="shared" si="3"/>
        <v>L26</v>
      </c>
    </row>
    <row r="6" spans="1:34" x14ac:dyDescent="0.3">
      <c r="A6" s="21" t="s">
        <v>5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Y6" t="str">
        <f t="shared" si="4"/>
        <v/>
      </c>
      <c r="Z6" t="str">
        <f t="shared" si="5"/>
        <v/>
      </c>
      <c r="AA6" t="str" cm="1">
        <f t="array" ref="AA6">IF(U6="", "", IFERROR(_xlfn.TEXTJOIN(", ", TRUE, IF((A$1:V$200=U6)*(ROW(A$1:V$200)&lt;&gt;ROW(U6))*(COLUMN(A$1:V$200)&lt;&gt;COLUMN(U6)), ADDRESS(ROW(A$1:V$200), COLUMN(A$1:V$200)), "")), "No Match"))</f>
        <v/>
      </c>
      <c r="AB6" t="str" cm="1">
        <f t="array" ref="AB6">IF(V6="", "", IFERROR(_xlfn.TEXTJOIN(", ", TRUE, IF((A$1:V$200=V6)*(ROW(A$1:V$200)&lt;&gt;ROW(V6))*(COLUMN(A$1:V$200)&lt;&gt;COLUMN(V6)), ADDRESS(ROW(A$1:V$200), COLUMN(A$1:V$200)), "")), "No Match"))</f>
        <v/>
      </c>
      <c r="AC6" t="str">
        <f t="shared" si="0"/>
        <v/>
      </c>
      <c r="AD6" t="str" cm="1">
        <f t="array" ref="AD6">IFERROR(_xlfn.TEXTJOIN(", ", TRUE, IF(INDEX(A:A, MID(AC6, FIND("[", AC6) + 1, FIND(",", AC6) - FIND("[", AC6) - 1) * 1):INDEX(A:A, MID(AC6, FIND(",", AC6) + 1, FIND("]", AC6) - FIND(",", AC6) - 1) * 1) = Y6, ROW(INDEX(A:A, MID(AC6, FIND("[", AC6) + 1, FIND(",", AC6) - FIND("[", AC6) - 1) * 1):INDEX(A:A, MID(AC6, FIND(",", AC6) + 1, FIND("]", AC6) - FIND(",", AC6) - 1) * 1)), "")), "")</f>
        <v/>
      </c>
      <c r="AE6" s="25" t="str">
        <f t="shared" si="1"/>
        <v/>
      </c>
      <c r="AF6" t="str">
        <f t="shared" si="2"/>
        <v/>
      </c>
      <c r="AG6" t="str" cm="1">
        <f t="array" ref="AG6">IFERROR(_xlfn.TEXTJOIN(", ", TRUE, IF(INDEX(A:A, MID(AF6, FIND("[", AF6) + 1, FIND(",", AF6) - FIND("[", AF6) - 1) * 1):INDEX(A:A, MID(AF6, FIND(",", AF6) + 1, FIND("]", AF6) - FIND(",", AF6) - 1) * 1) = Y6, ROW(INDEX(A:A, MID(AF6, FIND("[", AF6) + 1, FIND(",", AF6) - FIND("[", AF6) - 1) * 1):INDEX(A:A, MID(AF6, FIND(",", AF6) + 1, FIND("]", AF6) - FIND(",", AF6) - 1) * 1)), "")), "")</f>
        <v/>
      </c>
      <c r="AH6" s="24" t="str">
        <f t="shared" si="3"/>
        <v/>
      </c>
    </row>
    <row r="7" spans="1:34" ht="15.6" x14ac:dyDescent="0.3">
      <c r="A7" s="33" t="s">
        <v>1</v>
      </c>
      <c r="B7" s="34">
        <v>45673</v>
      </c>
      <c r="C7" s="34">
        <v>45674</v>
      </c>
      <c r="D7" s="34">
        <v>45675</v>
      </c>
      <c r="E7" s="34">
        <v>45676</v>
      </c>
      <c r="F7" s="34">
        <v>45677</v>
      </c>
      <c r="G7" s="34">
        <v>45678</v>
      </c>
      <c r="H7" s="34">
        <v>45679</v>
      </c>
      <c r="I7" s="34">
        <v>45680</v>
      </c>
      <c r="J7" s="34">
        <v>45681</v>
      </c>
      <c r="K7" s="34">
        <v>45682</v>
      </c>
      <c r="L7" s="34">
        <v>45683</v>
      </c>
      <c r="M7" s="34">
        <v>45684</v>
      </c>
      <c r="N7" s="34">
        <v>45685</v>
      </c>
      <c r="O7" s="34">
        <v>45686</v>
      </c>
      <c r="P7" s="34">
        <v>45687</v>
      </c>
      <c r="Q7" s="34">
        <v>45688</v>
      </c>
      <c r="Y7" t="str">
        <f t="shared" si="4"/>
        <v/>
      </c>
      <c r="Z7" t="str">
        <f t="shared" si="5"/>
        <v/>
      </c>
      <c r="AA7" t="str" cm="1">
        <f t="array" ref="AA7">IF(U7="", "", IFERROR(_xlfn.TEXTJOIN(", ", TRUE, IF((A$1:V$200=U7)*(ROW(A$1:V$200)&lt;&gt;ROW(U7))*(COLUMN(A$1:V$200)&lt;&gt;COLUMN(U7)), ADDRESS(ROW(A$1:V$200), COLUMN(A$1:V$200)), "")), "No Match"))</f>
        <v/>
      </c>
      <c r="AB7" t="str" cm="1">
        <f t="array" ref="AB7">IF(V7="", "", IFERROR(_xlfn.TEXTJOIN(", ", TRUE, IF((A$1:V$200=V7)*(ROW(A$1:V$200)&lt;&gt;ROW(V7))*(COLUMN(A$1:V$200)&lt;&gt;COLUMN(V7)), ADDRESS(ROW(A$1:V$200), COLUMN(A$1:V$200)), "")), "No Match"))</f>
        <v/>
      </c>
      <c r="AC7" t="str">
        <f t="shared" si="0"/>
        <v/>
      </c>
      <c r="AD7" t="str" cm="1">
        <f t="array" ref="AD7">IFERROR(_xlfn.TEXTJOIN(", ", TRUE, IF(INDEX(A:A, MID(AC7, FIND("[", AC7) + 1, FIND(",", AC7) - FIND("[", AC7) - 1) * 1):INDEX(A:A, MID(AC7, FIND(",", AC7) + 1, FIND("]", AC7) - FIND(",", AC7) - 1) * 1) = Y7, ROW(INDEX(A:A, MID(AC7, FIND("[", AC7) + 1, FIND(",", AC7) - FIND("[", AC7) - 1) * 1):INDEX(A:A, MID(AC7, FIND(",", AC7) + 1, FIND("]", AC7) - FIND(",", AC7) - 1) * 1)), "")), "")</f>
        <v/>
      </c>
      <c r="AE7" s="25" t="str">
        <f t="shared" si="1"/>
        <v/>
      </c>
      <c r="AF7" t="str">
        <f t="shared" si="2"/>
        <v/>
      </c>
      <c r="AG7" t="str" cm="1">
        <f t="array" ref="AG7">IFERROR(_xlfn.TEXTJOIN(", ", TRUE, IF(INDEX(A:A, MID(AF7, FIND("[", AF7) + 1, FIND(",", AF7) - FIND("[", AF7) - 1) * 1):INDEX(A:A, MID(AF7, FIND(",", AF7) + 1, FIND("]", AF7) - FIND(",", AF7) - 1) * 1) = Y7, ROW(INDEX(A:A, MID(AF7, FIND("[", AF7) + 1, FIND(",", AF7) - FIND("[", AF7) - 1) * 1):INDEX(A:A, MID(AF7, FIND(",", AF7) + 1, FIND("]", AF7) - FIND(",", AF7) - 1) * 1)), "")), "")</f>
        <v/>
      </c>
      <c r="AH7" s="24" t="str">
        <f t="shared" si="3"/>
        <v/>
      </c>
    </row>
    <row r="8" spans="1:34" x14ac:dyDescent="0.3">
      <c r="A8" s="21" t="s">
        <v>32</v>
      </c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Y8" t="str">
        <f t="shared" si="4"/>
        <v/>
      </c>
      <c r="Z8" t="str">
        <f t="shared" si="5"/>
        <v/>
      </c>
      <c r="AA8" t="str" cm="1">
        <f t="array" ref="AA8">IF(U8="", "", IFERROR(_xlfn.TEXTJOIN(", ", TRUE, IF((A$1:V$200=U8)*(ROW(A$1:V$200)&lt;&gt;ROW(U8))*(COLUMN(A$1:V$200)&lt;&gt;COLUMN(U8)), ADDRESS(ROW(A$1:V$200), COLUMN(A$1:V$200)), "")), "No Match"))</f>
        <v/>
      </c>
      <c r="AB8" t="str" cm="1">
        <f t="array" ref="AB8">IF(V8="", "", IFERROR(_xlfn.TEXTJOIN(", ", TRUE, IF((A$1:V$200=V8)*(ROW(A$1:V$200)&lt;&gt;ROW(V8))*(COLUMN(A$1:V$200)&lt;&gt;COLUMN(V8)), ADDRESS(ROW(A$1:V$200), COLUMN(A$1:V$200)), "")), "No Match"))</f>
        <v/>
      </c>
      <c r="AC8" t="str">
        <f t="shared" si="0"/>
        <v/>
      </c>
      <c r="AD8" t="str" cm="1">
        <f t="array" ref="AD8">IFERROR(_xlfn.TEXTJOIN(", ", TRUE, IF(INDEX(A:A, MID(AC8, FIND("[", AC8) + 1, FIND(",", AC8) - FIND("[", AC8) - 1) * 1):INDEX(A:A, MID(AC8, FIND(",", AC8) + 1, FIND("]", AC8) - FIND(",", AC8) - 1) * 1) = Y8, ROW(INDEX(A:A, MID(AC8, FIND("[", AC8) + 1, FIND(",", AC8) - FIND("[", AC8) - 1) * 1):INDEX(A:A, MID(AC8, FIND(",", AC8) + 1, FIND("]", AC8) - FIND(",", AC8) - 1) * 1)), "")), "")</f>
        <v/>
      </c>
      <c r="AE8" s="25" t="str">
        <f t="shared" si="1"/>
        <v/>
      </c>
      <c r="AF8" t="str">
        <f t="shared" si="2"/>
        <v/>
      </c>
      <c r="AG8" t="str" cm="1">
        <f t="array" ref="AG8">IFERROR(_xlfn.TEXTJOIN(", ", TRUE, IF(INDEX(A:A, MID(AF8, FIND("[", AF8) + 1, FIND(",", AF8) - FIND("[", AF8) - 1) * 1):INDEX(A:A, MID(AF8, FIND(",", AF8) + 1, FIND("]", AF8) - FIND(",", AF8) - 1) * 1) = Y8, ROW(INDEX(A:A, MID(AF8, FIND("[", AF8) + 1, FIND(",", AF8) - FIND("[", AF8) - 1) * 1):INDEX(A:A, MID(AF8, FIND(",", AF8) + 1, FIND("]", AF8) - FIND(",", AF8) - 1) * 1)), "")), "")</f>
        <v/>
      </c>
      <c r="AH8" s="24" t="str">
        <f t="shared" si="3"/>
        <v/>
      </c>
    </row>
    <row r="9" spans="1:34" x14ac:dyDescent="0.3">
      <c r="A9" s="21" t="s">
        <v>3</v>
      </c>
      <c r="B9" s="37" t="s">
        <v>47</v>
      </c>
      <c r="C9" s="37" t="s">
        <v>47</v>
      </c>
      <c r="D9" s="37" t="s">
        <v>47</v>
      </c>
      <c r="E9" s="37" t="s">
        <v>47</v>
      </c>
      <c r="F9" s="37" t="s">
        <v>47</v>
      </c>
      <c r="G9" s="37" t="s">
        <v>47</v>
      </c>
      <c r="H9" s="37" t="s">
        <v>47</v>
      </c>
      <c r="I9" s="37" t="s">
        <v>47</v>
      </c>
      <c r="J9" s="37" t="s">
        <v>47</v>
      </c>
      <c r="K9" s="37" t="s">
        <v>47</v>
      </c>
      <c r="L9" s="37" t="s">
        <v>47</v>
      </c>
      <c r="M9" s="37" t="s">
        <v>47</v>
      </c>
      <c r="N9" s="37" t="s">
        <v>47</v>
      </c>
      <c r="O9" s="37" t="s">
        <v>47</v>
      </c>
      <c r="P9" s="37" t="s">
        <v>47</v>
      </c>
      <c r="Q9" s="37" t="s">
        <v>47</v>
      </c>
      <c r="Y9" t="str">
        <f t="shared" si="4"/>
        <v/>
      </c>
      <c r="Z9" t="str">
        <f t="shared" si="5"/>
        <v/>
      </c>
      <c r="AA9" t="str" cm="1">
        <f t="array" ref="AA9">IF(U9="", "", IFERROR(_xlfn.TEXTJOIN(", ", TRUE, IF((A$1:V$200=U9)*(ROW(A$1:V$200)&lt;&gt;ROW(U9))*(COLUMN(A$1:V$200)&lt;&gt;COLUMN(U9)), ADDRESS(ROW(A$1:V$200), COLUMN(A$1:V$200)), "")), "No Match"))</f>
        <v/>
      </c>
      <c r="AB9" t="str" cm="1">
        <f t="array" ref="AB9">IF(V9="", "", IFERROR(_xlfn.TEXTJOIN(", ", TRUE, IF((A$1:V$200=V9)*(ROW(A$1:V$200)&lt;&gt;ROW(V9))*(COLUMN(A$1:V$200)&lt;&gt;COLUMN(V9)), ADDRESS(ROW(A$1:V$200), COLUMN(A$1:V$200)), "")), "No Match"))</f>
        <v/>
      </c>
      <c r="AC9" t="str">
        <f t="shared" si="0"/>
        <v/>
      </c>
      <c r="AD9" t="str" cm="1">
        <f t="array" ref="AD9">IFERROR(_xlfn.TEXTJOIN(", ", TRUE, IF(INDEX(A:A, MID(AC9, FIND("[", AC9) + 1, FIND(",", AC9) - FIND("[", AC9) - 1) * 1):INDEX(A:A, MID(AC9, FIND(",", AC9) + 1, FIND("]", AC9) - FIND(",", AC9) - 1) * 1) = Y9, ROW(INDEX(A:A, MID(AC9, FIND("[", AC9) + 1, FIND(",", AC9) - FIND("[", AC9) - 1) * 1):INDEX(A:A, MID(AC9, FIND(",", AC9) + 1, FIND("]", AC9) - FIND(",", AC9) - 1) * 1)), "")), "")</f>
        <v/>
      </c>
      <c r="AE9" s="25" t="str">
        <f t="shared" si="1"/>
        <v/>
      </c>
      <c r="AF9" t="str">
        <f t="shared" si="2"/>
        <v/>
      </c>
      <c r="AG9" t="str" cm="1">
        <f t="array" ref="AG9">IFERROR(_xlfn.TEXTJOIN(", ", TRUE, IF(INDEX(A:A, MID(AF9, FIND("[", AF9) + 1, FIND(",", AF9) - FIND("[", AF9) - 1) * 1):INDEX(A:A, MID(AF9, FIND(",", AF9) + 1, FIND("]", AF9) - FIND(",", AF9) - 1) * 1) = Y9, ROW(INDEX(A:A, MID(AF9, FIND("[", AF9) + 1, FIND(",", AF9) - FIND("[", AF9) - 1) * 1):INDEX(A:A, MID(AF9, FIND(",", AF9) + 1, FIND("]", AF9) - FIND(",", AF9) - 1) * 1)), "")), "")</f>
        <v/>
      </c>
      <c r="AH9" s="24" t="str">
        <f t="shared" si="3"/>
        <v/>
      </c>
    </row>
    <row r="10" spans="1:34" x14ac:dyDescent="0.3">
      <c r="A10" s="21" t="s">
        <v>4</v>
      </c>
      <c r="B10" s="30"/>
      <c r="C10" s="30"/>
      <c r="D10" s="30"/>
      <c r="E10" s="30"/>
      <c r="F10" s="30"/>
      <c r="G10" s="30"/>
      <c r="H10" s="30"/>
      <c r="I10" s="38" t="s">
        <v>48</v>
      </c>
      <c r="J10" s="38" t="s">
        <v>48</v>
      </c>
      <c r="K10" s="38" t="s">
        <v>48</v>
      </c>
      <c r="L10" s="38" t="s">
        <v>48</v>
      </c>
      <c r="M10" s="38" t="s">
        <v>48</v>
      </c>
      <c r="N10" s="38" t="s">
        <v>48</v>
      </c>
      <c r="O10" s="38" t="s">
        <v>48</v>
      </c>
      <c r="P10" s="38" t="s">
        <v>48</v>
      </c>
      <c r="Q10" s="38" t="s">
        <v>48</v>
      </c>
      <c r="Y10" t="str">
        <f t="shared" si="4"/>
        <v/>
      </c>
      <c r="Z10" t="str">
        <f t="shared" si="5"/>
        <v/>
      </c>
      <c r="AA10" t="str" cm="1">
        <f t="array" ref="AA10">IF(U10="", "", IFERROR(_xlfn.TEXTJOIN(", ", TRUE, IF((A$1:V$200=U10)*(ROW(A$1:V$200)&lt;&gt;ROW(U10))*(COLUMN(A$1:V$200)&lt;&gt;COLUMN(U10)), ADDRESS(ROW(A$1:V$200), COLUMN(A$1:V$200)), "")), "No Match"))</f>
        <v/>
      </c>
      <c r="AB10" t="str" cm="1">
        <f t="array" ref="AB10">IF(V10="", "", IFERROR(_xlfn.TEXTJOIN(", ", TRUE, IF((A$1:V$200=V10)*(ROW(A$1:V$200)&lt;&gt;ROW(V10))*(COLUMN(A$1:V$200)&lt;&gt;COLUMN(V10)), ADDRESS(ROW(A$1:V$200), COLUMN(A$1:V$200)), "")), "No Match"))</f>
        <v/>
      </c>
      <c r="AC10" t="str">
        <f t="shared" si="0"/>
        <v/>
      </c>
      <c r="AD10" t="str" cm="1">
        <f t="array" ref="AD10">IFERROR(_xlfn.TEXTJOIN(", ", TRUE, IF(INDEX(A:A, MID(AC10, FIND("[", AC10) + 1, FIND(",", AC10) - FIND("[", AC10) - 1) * 1):INDEX(A:A, MID(AC10, FIND(",", AC10) + 1, FIND("]", AC10) - FIND(",", AC10) - 1) * 1) = Y10, ROW(INDEX(A:A, MID(AC10, FIND("[", AC10) + 1, FIND(",", AC10) - FIND("[", AC10) - 1) * 1):INDEX(A:A, MID(AC10, FIND(",", AC10) + 1, FIND("]", AC10) - FIND(",", AC10) - 1) * 1)), "")), "")</f>
        <v/>
      </c>
      <c r="AE10" s="25" t="str">
        <f t="shared" si="1"/>
        <v/>
      </c>
      <c r="AF10" t="str">
        <f t="shared" si="2"/>
        <v/>
      </c>
      <c r="AG10" t="str" cm="1">
        <f t="array" ref="AG10">IFERROR(_xlfn.TEXTJOIN(", ", TRUE, IF(INDEX(A:A, MID(AF10, FIND("[", AF10) + 1, FIND(",", AF10) - FIND("[", AF10) - 1) * 1):INDEX(A:A, MID(AF10, FIND(",", AF10) + 1, FIND("]", AF10) - FIND(",", AF10) - 1) * 1) = Y10, ROW(INDEX(A:A, MID(AF10, FIND("[", AF10) + 1, FIND(",", AF10) - FIND("[", AF10) - 1) * 1):INDEX(A:A, MID(AF10, FIND(",", AF10) + 1, FIND("]", AF10) - FIND(",", AF10) - 1) * 1)), "")), "")</f>
        <v/>
      </c>
      <c r="AH10" s="24" t="str">
        <f t="shared" si="3"/>
        <v/>
      </c>
    </row>
    <row r="11" spans="1:34" x14ac:dyDescent="0.3">
      <c r="A11" s="21" t="s">
        <v>5</v>
      </c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Y11" t="str">
        <f t="shared" si="4"/>
        <v/>
      </c>
      <c r="Z11" t="str">
        <f t="shared" si="5"/>
        <v/>
      </c>
      <c r="AA11" t="str" cm="1">
        <f t="array" ref="AA11">IF(U11="", "", IFERROR(_xlfn.TEXTJOIN(", ", TRUE, IF((A$1:V$200=U11)*(ROW(A$1:V$200)&lt;&gt;ROW(U11))*(COLUMN(A$1:V$200)&lt;&gt;COLUMN(U11)), ADDRESS(ROW(A$1:V$200), COLUMN(A$1:V$200)), "")), "No Match"))</f>
        <v/>
      </c>
      <c r="AB11" t="str" cm="1">
        <f t="array" ref="AB11">IF(V11="", "", IFERROR(_xlfn.TEXTJOIN(", ", TRUE, IF((A$1:V$200=V11)*(ROW(A$1:V$200)&lt;&gt;ROW(V11))*(COLUMN(A$1:V$200)&lt;&gt;COLUMN(V11)), ADDRESS(ROW(A$1:V$200), COLUMN(A$1:V$200)), "")), "No Match"))</f>
        <v/>
      </c>
      <c r="AC11" t="str">
        <f t="shared" si="0"/>
        <v/>
      </c>
      <c r="AD11" t="str" cm="1">
        <f t="array" ref="AD11">IFERROR(_xlfn.TEXTJOIN(", ", TRUE, IF(INDEX(A:A, MID(AC11, FIND("[", AC11) + 1, FIND(",", AC11) - FIND("[", AC11) - 1) * 1):INDEX(A:A, MID(AC11, FIND(",", AC11) + 1, FIND("]", AC11) - FIND(",", AC11) - 1) * 1) = Y11, ROW(INDEX(A:A, MID(AC11, FIND("[", AC11) + 1, FIND(",", AC11) - FIND("[", AC11) - 1) * 1):INDEX(A:A, MID(AC11, FIND(",", AC11) + 1, FIND("]", AC11) - FIND(",", AC11) - 1) * 1)), "")), "")</f>
        <v/>
      </c>
      <c r="AE11" s="25" t="str">
        <f t="shared" si="1"/>
        <v/>
      </c>
      <c r="AF11" t="str">
        <f t="shared" si="2"/>
        <v/>
      </c>
      <c r="AG11" t="str" cm="1">
        <f t="array" ref="AG11">IFERROR(_xlfn.TEXTJOIN(", ", TRUE, IF(INDEX(A:A, MID(AF11, FIND("[", AF11) + 1, FIND(",", AF11) - FIND("[", AF11) - 1) * 1):INDEX(A:A, MID(AF11, FIND(",", AF11) + 1, FIND("]", AF11) - FIND(",", AF11) - 1) * 1) = Y11, ROW(INDEX(A:A, MID(AF11, FIND("[", AF11) + 1, FIND(",", AF11) - FIND("[", AF11) - 1) * 1):INDEX(A:A, MID(AF11, FIND(",", AF11) + 1, FIND("]", AF11) - FIND(",", AF11) - 1) * 1)), "")), "")</f>
        <v/>
      </c>
      <c r="AH11" s="24" t="str">
        <f t="shared" si="3"/>
        <v/>
      </c>
    </row>
    <row r="12" spans="1:34" ht="15.6" x14ac:dyDescent="0.3">
      <c r="A12" s="33" t="s">
        <v>6</v>
      </c>
      <c r="B12" s="34">
        <v>45689</v>
      </c>
      <c r="C12" s="34">
        <v>45690</v>
      </c>
      <c r="D12" s="34">
        <v>45691</v>
      </c>
      <c r="E12" s="34">
        <v>45692</v>
      </c>
      <c r="F12" s="34">
        <v>45693</v>
      </c>
      <c r="G12" s="34">
        <v>45694</v>
      </c>
      <c r="H12" s="34">
        <v>45695</v>
      </c>
      <c r="I12" s="34">
        <v>45696</v>
      </c>
      <c r="J12" s="34">
        <v>45697</v>
      </c>
      <c r="K12" s="34">
        <v>45698</v>
      </c>
      <c r="L12" s="34">
        <v>45699</v>
      </c>
      <c r="M12" s="34">
        <v>45700</v>
      </c>
      <c r="N12" s="34">
        <v>45701</v>
      </c>
      <c r="O12" s="34">
        <v>45702</v>
      </c>
      <c r="P12" s="34">
        <v>45703</v>
      </c>
      <c r="Y12" t="str">
        <f t="shared" si="4"/>
        <v/>
      </c>
      <c r="Z12" t="str">
        <f t="shared" si="5"/>
        <v/>
      </c>
      <c r="AA12" t="str" cm="1">
        <f t="array" ref="AA12">IF(U12="", "", IFERROR(_xlfn.TEXTJOIN(", ", TRUE, IF((A$1:V$200=U12)*(ROW(A$1:V$200)&lt;&gt;ROW(U12))*(COLUMN(A$1:V$200)&lt;&gt;COLUMN(U12)), ADDRESS(ROW(A$1:V$200), COLUMN(A$1:V$200)), "")), "No Match"))</f>
        <v/>
      </c>
      <c r="AB12" t="str" cm="1">
        <f t="array" ref="AB12">IF(V12="", "", IFERROR(_xlfn.TEXTJOIN(", ", TRUE, IF((A$1:V$200=V12)*(ROW(A$1:V$200)&lt;&gt;ROW(V12))*(COLUMN(A$1:V$200)&lt;&gt;COLUMN(V12)), ADDRESS(ROW(A$1:V$200), COLUMN(A$1:V$200)), "")), "No Match"))</f>
        <v/>
      </c>
      <c r="AC12" t="str">
        <f t="shared" si="0"/>
        <v/>
      </c>
      <c r="AD12" t="str" cm="1">
        <f t="array" ref="AD12">IFERROR(_xlfn.TEXTJOIN(", ", TRUE, IF(INDEX(A:A, MID(AC12, FIND("[", AC12) + 1, FIND(",", AC12) - FIND("[", AC12) - 1) * 1):INDEX(A:A, MID(AC12, FIND(",", AC12) + 1, FIND("]", AC12) - FIND(",", AC12) - 1) * 1) = Y12, ROW(INDEX(A:A, MID(AC12, FIND("[", AC12) + 1, FIND(",", AC12) - FIND("[", AC12) - 1) * 1):INDEX(A:A, MID(AC12, FIND(",", AC12) + 1, FIND("]", AC12) - FIND(",", AC12) - 1) * 1)), "")), "")</f>
        <v/>
      </c>
      <c r="AE12" s="25" t="str">
        <f t="shared" si="1"/>
        <v/>
      </c>
      <c r="AF12" t="str">
        <f t="shared" si="2"/>
        <v/>
      </c>
      <c r="AG12" t="str" cm="1">
        <f t="array" ref="AG12">IFERROR(_xlfn.TEXTJOIN(", ", TRUE, IF(INDEX(A:A, MID(AF12, FIND("[", AF12) + 1, FIND(",", AF12) - FIND("[", AF12) - 1) * 1):INDEX(A:A, MID(AF12, FIND(",", AF12) + 1, FIND("]", AF12) - FIND(",", AF12) - 1) * 1) = Y12, ROW(INDEX(A:A, MID(AF12, FIND("[", AF12) + 1, FIND(",", AF12) - FIND("[", AF12) - 1) * 1):INDEX(A:A, MID(AF12, FIND(",", AF12) + 1, FIND("]", AF12) - FIND(",", AF12) - 1) * 1)), "")), "")</f>
        <v/>
      </c>
      <c r="AH12" s="24" t="str">
        <f t="shared" si="3"/>
        <v/>
      </c>
    </row>
    <row r="13" spans="1:34" x14ac:dyDescent="0.3">
      <c r="A13" s="21" t="s">
        <v>32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Y13" t="str">
        <f t="shared" si="4"/>
        <v/>
      </c>
      <c r="Z13" t="str">
        <f t="shared" si="5"/>
        <v/>
      </c>
      <c r="AA13" t="str" cm="1">
        <f t="array" ref="AA13">IF(U13="", "", IFERROR(_xlfn.TEXTJOIN(", ", TRUE, IF((A$1:V$200=U13)*(ROW(A$1:V$200)&lt;&gt;ROW(U13))*(COLUMN(A$1:V$200)&lt;&gt;COLUMN(U13)), ADDRESS(ROW(A$1:V$200), COLUMN(A$1:V$200)), "")), "No Match"))</f>
        <v/>
      </c>
      <c r="AB13" t="str" cm="1">
        <f t="array" ref="AB13">IF(V13="", "", IFERROR(_xlfn.TEXTJOIN(", ", TRUE, IF((A$1:V$200=V13)*(ROW(A$1:V$200)&lt;&gt;ROW(V13))*(COLUMN(A$1:V$200)&lt;&gt;COLUMN(V13)), ADDRESS(ROW(A$1:V$200), COLUMN(A$1:V$200)), "")), "No Match"))</f>
        <v/>
      </c>
      <c r="AC13" t="str">
        <f t="shared" si="0"/>
        <v/>
      </c>
      <c r="AD13" t="str" cm="1">
        <f t="array" ref="AD13">IFERROR(_xlfn.TEXTJOIN(", ", TRUE, IF(INDEX(A:A, MID(AC13, FIND("[", AC13) + 1, FIND(",", AC13) - FIND("[", AC13) - 1) * 1):INDEX(A:A, MID(AC13, FIND(",", AC13) + 1, FIND("]", AC13) - FIND(",", AC13) - 1) * 1) = Y13, ROW(INDEX(A:A, MID(AC13, FIND("[", AC13) + 1, FIND(",", AC13) - FIND("[", AC13) - 1) * 1):INDEX(A:A, MID(AC13, FIND(",", AC13) + 1, FIND("]", AC13) - FIND(",", AC13) - 1) * 1)), "")), "")</f>
        <v/>
      </c>
      <c r="AE13" s="25" t="str">
        <f t="shared" si="1"/>
        <v/>
      </c>
      <c r="AF13" t="str">
        <f t="shared" si="2"/>
        <v/>
      </c>
      <c r="AG13" t="str" cm="1">
        <f t="array" ref="AG13">IFERROR(_xlfn.TEXTJOIN(", ", TRUE, IF(INDEX(A:A, MID(AF13, FIND("[", AF13) + 1, FIND(",", AF13) - FIND("[", AF13) - 1) * 1):INDEX(A:A, MID(AF13, FIND(",", AF13) + 1, FIND("]", AF13) - FIND(",", AF13) - 1) * 1) = Y13, ROW(INDEX(A:A, MID(AF13, FIND("[", AF13) + 1, FIND(",", AF13) - FIND("[", AF13) - 1) * 1):INDEX(A:A, MID(AF13, FIND(",", AF13) + 1, FIND("]", AF13) - FIND(",", AF13) - 1) * 1)), "")), "")</f>
        <v/>
      </c>
      <c r="AH13" s="24" t="str">
        <f t="shared" si="3"/>
        <v/>
      </c>
    </row>
    <row r="14" spans="1:34" x14ac:dyDescent="0.3">
      <c r="A14" s="21" t="s">
        <v>3</v>
      </c>
      <c r="B14" s="37" t="s">
        <v>47</v>
      </c>
      <c r="C14" s="37" t="s">
        <v>47</v>
      </c>
      <c r="D14" s="37" t="s">
        <v>47</v>
      </c>
      <c r="E14" s="37" t="s">
        <v>47</v>
      </c>
      <c r="F14" s="37" t="s">
        <v>47</v>
      </c>
      <c r="G14" s="37" t="s">
        <v>47</v>
      </c>
      <c r="H14" s="37" t="s">
        <v>47</v>
      </c>
      <c r="I14" s="37" t="s">
        <v>47</v>
      </c>
      <c r="J14" s="37" t="s">
        <v>47</v>
      </c>
      <c r="K14" s="37" t="s">
        <v>47</v>
      </c>
      <c r="L14" s="37" t="s">
        <v>47</v>
      </c>
      <c r="M14" s="37" t="s">
        <v>47</v>
      </c>
      <c r="N14" s="37" t="s">
        <v>47</v>
      </c>
      <c r="O14" s="30"/>
      <c r="P14" s="30"/>
      <c r="Y14" t="str">
        <f t="shared" si="4"/>
        <v/>
      </c>
      <c r="Z14" t="str">
        <f t="shared" si="5"/>
        <v/>
      </c>
      <c r="AA14" t="str" cm="1">
        <f t="array" ref="AA14">IF(U14="", "", IFERROR(_xlfn.TEXTJOIN(", ", TRUE, IF((A$1:V$200=U14)*(ROW(A$1:V$200)&lt;&gt;ROW(U14))*(COLUMN(A$1:V$200)&lt;&gt;COLUMN(U14)), ADDRESS(ROW(A$1:V$200), COLUMN(A$1:V$200)), "")), "No Match"))</f>
        <v/>
      </c>
      <c r="AB14" t="str" cm="1">
        <f t="array" ref="AB14">IF(V14="", "", IFERROR(_xlfn.TEXTJOIN(", ", TRUE, IF((A$1:V$200=V14)*(ROW(A$1:V$200)&lt;&gt;ROW(V14))*(COLUMN(A$1:V$200)&lt;&gt;COLUMN(V14)), ADDRESS(ROW(A$1:V$200), COLUMN(A$1:V$200)), "")), "No Match"))</f>
        <v/>
      </c>
      <c r="AC14" t="str">
        <f t="shared" si="0"/>
        <v/>
      </c>
      <c r="AD14" t="str" cm="1">
        <f t="array" ref="AD14">IFERROR(_xlfn.TEXTJOIN(", ", TRUE, IF(INDEX(A:A, MID(AC14, FIND("[", AC14) + 1, FIND(",", AC14) - FIND("[", AC14) - 1) * 1):INDEX(A:A, MID(AC14, FIND(",", AC14) + 1, FIND("]", AC14) - FIND(",", AC14) - 1) * 1) = Y14, ROW(INDEX(A:A, MID(AC14, FIND("[", AC14) + 1, FIND(",", AC14) - FIND("[", AC14) - 1) * 1):INDEX(A:A, MID(AC14, FIND(",", AC14) + 1, FIND("]", AC14) - FIND(",", AC14) - 1) * 1)), "")), "")</f>
        <v/>
      </c>
      <c r="AE14" s="25" t="str">
        <f t="shared" si="1"/>
        <v/>
      </c>
      <c r="AF14" t="str">
        <f t="shared" si="2"/>
        <v/>
      </c>
      <c r="AG14" t="str" cm="1">
        <f t="array" ref="AG14">IFERROR(_xlfn.TEXTJOIN(", ", TRUE, IF(INDEX(A:A, MID(AF14, FIND("[", AF14) + 1, FIND(",", AF14) - FIND("[", AF14) - 1) * 1):INDEX(A:A, MID(AF14, FIND(",", AF14) + 1, FIND("]", AF14) - FIND(",", AF14) - 1) * 1) = Y14, ROW(INDEX(A:A, MID(AF14, FIND("[", AF14) + 1, FIND(",", AF14) - FIND("[", AF14) - 1) * 1):INDEX(A:A, MID(AF14, FIND(",", AF14) + 1, FIND("]", AF14) - FIND(",", AF14) - 1) * 1)), "")), "")</f>
        <v/>
      </c>
      <c r="AH14" s="24" t="str">
        <f t="shared" si="3"/>
        <v/>
      </c>
    </row>
    <row r="15" spans="1:34" x14ac:dyDescent="0.3">
      <c r="A15" s="21" t="s">
        <v>4</v>
      </c>
      <c r="B15" s="38" t="s">
        <v>48</v>
      </c>
      <c r="C15" s="38" t="s">
        <v>48</v>
      </c>
      <c r="D15" s="38" t="s">
        <v>48</v>
      </c>
      <c r="E15" s="38" t="s">
        <v>48</v>
      </c>
      <c r="F15" s="38" t="s">
        <v>48</v>
      </c>
      <c r="G15" s="38" t="s">
        <v>48</v>
      </c>
      <c r="H15" s="38" t="s">
        <v>48</v>
      </c>
      <c r="I15" s="38" t="s">
        <v>48</v>
      </c>
      <c r="J15" s="38" t="s">
        <v>48</v>
      </c>
      <c r="K15" s="38" t="s">
        <v>48</v>
      </c>
      <c r="L15" s="38" t="s">
        <v>48</v>
      </c>
      <c r="M15" s="38" t="s">
        <v>48</v>
      </c>
      <c r="N15" s="38" t="s">
        <v>48</v>
      </c>
      <c r="O15" s="38" t="s">
        <v>48</v>
      </c>
      <c r="P15" s="38" t="s">
        <v>48</v>
      </c>
      <c r="Y15" t="str">
        <f t="shared" si="4"/>
        <v/>
      </c>
      <c r="Z15" t="str">
        <f t="shared" si="5"/>
        <v/>
      </c>
      <c r="AA15" t="str" cm="1">
        <f t="array" ref="AA15">IF(U15="", "", IFERROR(_xlfn.TEXTJOIN(", ", TRUE, IF((A$1:V$200=U15)*(ROW(A$1:V$200)&lt;&gt;ROW(U15))*(COLUMN(A$1:V$200)&lt;&gt;COLUMN(U15)), ADDRESS(ROW(A$1:V$200), COLUMN(A$1:V$200)), "")), "No Match"))</f>
        <v/>
      </c>
      <c r="AB15" t="str" cm="1">
        <f t="array" ref="AB15">IF(V15="", "", IFERROR(_xlfn.TEXTJOIN(", ", TRUE, IF((A$1:V$200=V15)*(ROW(A$1:V$200)&lt;&gt;ROW(V15))*(COLUMN(A$1:V$200)&lt;&gt;COLUMN(V15)), ADDRESS(ROW(A$1:V$200), COLUMN(A$1:V$200)), "")), "No Match"))</f>
        <v/>
      </c>
      <c r="AC15" t="str">
        <f t="shared" si="0"/>
        <v/>
      </c>
      <c r="AD15" t="str" cm="1">
        <f t="array" ref="AD15">IFERROR(_xlfn.TEXTJOIN(", ", TRUE, IF(INDEX(A:A, MID(AC15, FIND("[", AC15) + 1, FIND(",", AC15) - FIND("[", AC15) - 1) * 1):INDEX(A:A, MID(AC15, FIND(",", AC15) + 1, FIND("]", AC15) - FIND(",", AC15) - 1) * 1) = Y15, ROW(INDEX(A:A, MID(AC15, FIND("[", AC15) + 1, FIND(",", AC15) - FIND("[", AC15) - 1) * 1):INDEX(A:A, MID(AC15, FIND(",", AC15) + 1, FIND("]", AC15) - FIND(",", AC15) - 1) * 1)), "")), "")</f>
        <v/>
      </c>
      <c r="AE15" s="25" t="str">
        <f t="shared" si="1"/>
        <v/>
      </c>
      <c r="AF15" t="str">
        <f t="shared" si="2"/>
        <v/>
      </c>
      <c r="AG15" t="str" cm="1">
        <f t="array" ref="AG15">IFERROR(_xlfn.TEXTJOIN(", ", TRUE, IF(INDEX(A:A, MID(AF15, FIND("[", AF15) + 1, FIND(",", AF15) - FIND("[", AF15) - 1) * 1):INDEX(A:A, MID(AF15, FIND(",", AF15) + 1, FIND("]", AF15) - FIND(",", AF15) - 1) * 1) = Y15, ROW(INDEX(A:A, MID(AF15, FIND("[", AF15) + 1, FIND(",", AF15) - FIND("[", AF15) - 1) * 1):INDEX(A:A, MID(AF15, FIND(",", AF15) + 1, FIND("]", AF15) - FIND(",", AF15) - 1) * 1)), "")), "")</f>
        <v/>
      </c>
      <c r="AH15" s="24" t="str">
        <f t="shared" si="3"/>
        <v/>
      </c>
    </row>
    <row r="16" spans="1:34" x14ac:dyDescent="0.3">
      <c r="A16" s="21" t="s">
        <v>5</v>
      </c>
      <c r="B16" s="30"/>
      <c r="C16" s="30"/>
      <c r="D16" s="30"/>
      <c r="E16" s="30"/>
      <c r="F16" s="30"/>
      <c r="G16" s="39" t="s">
        <v>49</v>
      </c>
      <c r="H16" s="39" t="s">
        <v>49</v>
      </c>
      <c r="I16" s="39" t="s">
        <v>49</v>
      </c>
      <c r="J16" s="39" t="s">
        <v>49</v>
      </c>
      <c r="K16" s="39" t="s">
        <v>49</v>
      </c>
      <c r="L16" s="39" t="s">
        <v>49</v>
      </c>
      <c r="M16" s="39" t="s">
        <v>49</v>
      </c>
      <c r="N16" s="39" t="s">
        <v>49</v>
      </c>
      <c r="O16" s="39" t="s">
        <v>49</v>
      </c>
      <c r="P16" s="39" t="s">
        <v>49</v>
      </c>
      <c r="Y16" t="str">
        <f t="shared" si="4"/>
        <v/>
      </c>
      <c r="Z16" t="str">
        <f t="shared" si="5"/>
        <v/>
      </c>
      <c r="AA16" t="str" cm="1">
        <f t="array" ref="AA16">IF(U16="", "", IFERROR(_xlfn.TEXTJOIN(", ", TRUE, IF((A$1:V$200=U16)*(ROW(A$1:V$200)&lt;&gt;ROW(U16))*(COLUMN(A$1:V$200)&lt;&gt;COLUMN(U16)), ADDRESS(ROW(A$1:V$200), COLUMN(A$1:V$200)), "")), "No Match"))</f>
        <v/>
      </c>
      <c r="AB16" t="str" cm="1">
        <f t="array" ref="AB16">IF(V16="", "", IFERROR(_xlfn.TEXTJOIN(", ", TRUE, IF((A$1:V$200=V16)*(ROW(A$1:V$200)&lt;&gt;ROW(V16))*(COLUMN(A$1:V$200)&lt;&gt;COLUMN(V16)), ADDRESS(ROW(A$1:V$200), COLUMN(A$1:V$200)), "")), "No Match"))</f>
        <v/>
      </c>
      <c r="AC16" t="str">
        <f t="shared" si="0"/>
        <v/>
      </c>
      <c r="AD16" t="str" cm="1">
        <f t="array" ref="AD16">IFERROR(_xlfn.TEXTJOIN(", ", TRUE, IF(INDEX(A:A, MID(AC16, FIND("[", AC16) + 1, FIND(",", AC16) - FIND("[", AC16) - 1) * 1):INDEX(A:A, MID(AC16, FIND(",", AC16) + 1, FIND("]", AC16) - FIND(",", AC16) - 1) * 1) = Y16, ROW(INDEX(A:A, MID(AC16, FIND("[", AC16) + 1, FIND(",", AC16) - FIND("[", AC16) - 1) * 1):INDEX(A:A, MID(AC16, FIND(",", AC16) + 1, FIND("]", AC16) - FIND(",", AC16) - 1) * 1)), "")), "")</f>
        <v/>
      </c>
      <c r="AE16" s="25" t="str">
        <f t="shared" si="1"/>
        <v/>
      </c>
      <c r="AF16" t="str">
        <f t="shared" si="2"/>
        <v/>
      </c>
      <c r="AG16" t="str" cm="1">
        <f t="array" ref="AG16">IFERROR(_xlfn.TEXTJOIN(", ", TRUE, IF(INDEX(A:A, MID(AF16, FIND("[", AF16) + 1, FIND(",", AF16) - FIND("[", AF16) - 1) * 1):INDEX(A:A, MID(AF16, FIND(",", AF16) + 1, FIND("]", AF16) - FIND(",", AF16) - 1) * 1) = Y16, ROW(INDEX(A:A, MID(AF16, FIND("[", AF16) + 1, FIND(",", AF16) - FIND("[", AF16) - 1) * 1):INDEX(A:A, MID(AF16, FIND(",", AF16) + 1, FIND("]", AF16) - FIND(",", AF16) - 1) * 1)), "")), "")</f>
        <v/>
      </c>
      <c r="AH16" s="24" t="str">
        <f t="shared" si="3"/>
        <v/>
      </c>
    </row>
    <row r="17" spans="1:34" ht="15.6" x14ac:dyDescent="0.3">
      <c r="A17" s="33" t="s">
        <v>6</v>
      </c>
      <c r="B17" s="34">
        <v>45704</v>
      </c>
      <c r="C17" s="34">
        <v>45705</v>
      </c>
      <c r="D17" s="34">
        <v>45706</v>
      </c>
      <c r="E17" s="34">
        <v>45707</v>
      </c>
      <c r="F17" s="34">
        <v>45708</v>
      </c>
      <c r="G17" s="34">
        <v>45709</v>
      </c>
      <c r="H17" s="34">
        <v>45710</v>
      </c>
      <c r="I17" s="34">
        <v>45711</v>
      </c>
      <c r="J17" s="34">
        <v>45712</v>
      </c>
      <c r="K17" s="34">
        <v>45713</v>
      </c>
      <c r="L17" s="34">
        <v>45714</v>
      </c>
      <c r="M17" s="34">
        <v>45715</v>
      </c>
      <c r="N17" s="34">
        <v>45716</v>
      </c>
      <c r="Y17" t="str">
        <f t="shared" si="4"/>
        <v/>
      </c>
      <c r="Z17" t="str">
        <f t="shared" si="5"/>
        <v/>
      </c>
      <c r="AA17" t="str" cm="1">
        <f t="array" ref="AA17">IF(U17="", "", IFERROR(_xlfn.TEXTJOIN(", ", TRUE, IF((A$1:V$200=U17)*(ROW(A$1:V$200)&lt;&gt;ROW(U17))*(COLUMN(A$1:V$200)&lt;&gt;COLUMN(U17)), ADDRESS(ROW(A$1:V$200), COLUMN(A$1:V$200)), "")), "No Match"))</f>
        <v/>
      </c>
      <c r="AB17" t="str" cm="1">
        <f t="array" ref="AB17">IF(V17="", "", IFERROR(_xlfn.TEXTJOIN(", ", TRUE, IF((A$1:V$200=V17)*(ROW(A$1:V$200)&lt;&gt;ROW(V17))*(COLUMN(A$1:V$200)&lt;&gt;COLUMN(V17)), ADDRESS(ROW(A$1:V$200), COLUMN(A$1:V$200)), "")), "No Match"))</f>
        <v/>
      </c>
      <c r="AC17" t="str">
        <f t="shared" si="0"/>
        <v/>
      </c>
      <c r="AD17" t="str" cm="1">
        <f t="array" ref="AD17">IFERROR(_xlfn.TEXTJOIN(", ", TRUE, IF(INDEX(A:A, MID(AC17, FIND("[", AC17) + 1, FIND(",", AC17) - FIND("[", AC17) - 1) * 1):INDEX(A:A, MID(AC17, FIND(",", AC17) + 1, FIND("]", AC17) - FIND(",", AC17) - 1) * 1) = Y17, ROW(INDEX(A:A, MID(AC17, FIND("[", AC17) + 1, FIND(",", AC17) - FIND("[", AC17) - 1) * 1):INDEX(A:A, MID(AC17, FIND(",", AC17) + 1, FIND("]", AC17) - FIND(",", AC17) - 1) * 1)), "")), "")</f>
        <v/>
      </c>
      <c r="AE17" s="25" t="str">
        <f t="shared" si="1"/>
        <v/>
      </c>
      <c r="AF17" t="str">
        <f t="shared" si="2"/>
        <v/>
      </c>
      <c r="AG17" t="str" cm="1">
        <f t="array" ref="AG17">IFERROR(_xlfn.TEXTJOIN(", ", TRUE, IF(INDEX(A:A, MID(AF17, FIND("[", AF17) + 1, FIND(",", AF17) - FIND("[", AF17) - 1) * 1):INDEX(A:A, MID(AF17, FIND(",", AF17) + 1, FIND("]", AF17) - FIND(",", AF17) - 1) * 1) = Y17, ROW(INDEX(A:A, MID(AF17, FIND("[", AF17) + 1, FIND(",", AF17) - FIND("[", AF17) - 1) * 1):INDEX(A:A, MID(AF17, FIND(",", AF17) + 1, FIND("]", AF17) - FIND(",", AF17) - 1) * 1)), "")), "")</f>
        <v/>
      </c>
      <c r="AH17" s="24" t="str">
        <f t="shared" si="3"/>
        <v/>
      </c>
    </row>
    <row r="18" spans="1:34" x14ac:dyDescent="0.3">
      <c r="A18" s="21" t="s">
        <v>32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Y18" t="str">
        <f t="shared" si="4"/>
        <v/>
      </c>
      <c r="Z18" t="str">
        <f t="shared" si="5"/>
        <v/>
      </c>
      <c r="AA18" t="str" cm="1">
        <f t="array" ref="AA18">IF(U18="", "", IFERROR(_xlfn.TEXTJOIN(", ", TRUE, IF((A$1:V$200=U18)*(ROW(A$1:V$200)&lt;&gt;ROW(U18))*(COLUMN(A$1:V$200)&lt;&gt;COLUMN(U18)), ADDRESS(ROW(A$1:V$200), COLUMN(A$1:V$200)), "")), "No Match"))</f>
        <v/>
      </c>
      <c r="AB18" t="str" cm="1">
        <f t="array" ref="AB18">IF(V18="", "", IFERROR(_xlfn.TEXTJOIN(", ", TRUE, IF((A$1:V$200=V18)*(ROW(A$1:V$200)&lt;&gt;ROW(V18))*(COLUMN(A$1:V$200)&lt;&gt;COLUMN(V18)), ADDRESS(ROW(A$1:V$200), COLUMN(A$1:V$200)), "")), "No Match"))</f>
        <v/>
      </c>
      <c r="AC18" t="str">
        <f t="shared" si="0"/>
        <v/>
      </c>
      <c r="AD18" t="str" cm="1">
        <f t="array" ref="AD18">IFERROR(_xlfn.TEXTJOIN(", ", TRUE, IF(INDEX(A:A, MID(AC18, FIND("[", AC18) + 1, FIND(",", AC18) - FIND("[", AC18) - 1) * 1):INDEX(A:A, MID(AC18, FIND(",", AC18) + 1, FIND("]", AC18) - FIND(",", AC18) - 1) * 1) = Y18, ROW(INDEX(A:A, MID(AC18, FIND("[", AC18) + 1, FIND(",", AC18) - FIND("[", AC18) - 1) * 1):INDEX(A:A, MID(AC18, FIND(",", AC18) + 1, FIND("]", AC18) - FIND(",", AC18) - 1) * 1)), "")), "")</f>
        <v/>
      </c>
      <c r="AE18" s="25" t="str">
        <f t="shared" si="1"/>
        <v/>
      </c>
      <c r="AF18" t="str">
        <f t="shared" si="2"/>
        <v/>
      </c>
      <c r="AG18" t="str" cm="1">
        <f t="array" ref="AG18">IFERROR(_xlfn.TEXTJOIN(", ", TRUE, IF(INDEX(A:A, MID(AF18, FIND("[", AF18) + 1, FIND(",", AF18) - FIND("[", AF18) - 1) * 1):INDEX(A:A, MID(AF18, FIND(",", AF18) + 1, FIND("]", AF18) - FIND(",", AF18) - 1) * 1) = Y18, ROW(INDEX(A:A, MID(AF18, FIND("[", AF18) + 1, FIND(",", AF18) - FIND("[", AF18) - 1) * 1):INDEX(A:A, MID(AF18, FIND(",", AF18) + 1, FIND("]", AF18) - FIND(",", AF18) - 1) * 1)), "")), "")</f>
        <v/>
      </c>
      <c r="AH18" s="24" t="str">
        <f t="shared" si="3"/>
        <v/>
      </c>
    </row>
    <row r="19" spans="1:34" x14ac:dyDescent="0.3">
      <c r="A19" s="21" t="s">
        <v>3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Y19" t="str">
        <f t="shared" si="4"/>
        <v/>
      </c>
      <c r="Z19" t="str">
        <f t="shared" si="5"/>
        <v/>
      </c>
      <c r="AA19" t="str" cm="1">
        <f t="array" ref="AA19">IF(U19="", "", IFERROR(_xlfn.TEXTJOIN(", ", TRUE, IF((A$1:V$200=U19)*(ROW(A$1:V$200)&lt;&gt;ROW(U19))*(COLUMN(A$1:V$200)&lt;&gt;COLUMN(U19)), ADDRESS(ROW(A$1:V$200), COLUMN(A$1:V$200)), "")), "No Match"))</f>
        <v/>
      </c>
      <c r="AB19" t="str" cm="1">
        <f t="array" ref="AB19">IF(V19="", "", IFERROR(_xlfn.TEXTJOIN(", ", TRUE, IF((A$1:V$200=V19)*(ROW(A$1:V$200)&lt;&gt;ROW(V19))*(COLUMN(A$1:V$200)&lt;&gt;COLUMN(V19)), ADDRESS(ROW(A$1:V$200), COLUMN(A$1:V$200)), "")), "No Match"))</f>
        <v/>
      </c>
      <c r="AC19" t="str">
        <f t="shared" si="0"/>
        <v/>
      </c>
      <c r="AD19" t="str" cm="1">
        <f t="array" ref="AD19">IFERROR(_xlfn.TEXTJOIN(", ", TRUE, IF(INDEX(A:A, MID(AC19, FIND("[", AC19) + 1, FIND(",", AC19) - FIND("[", AC19) - 1) * 1):INDEX(A:A, MID(AC19, FIND(",", AC19) + 1, FIND("]", AC19) - FIND(",", AC19) - 1) * 1) = Y19, ROW(INDEX(A:A, MID(AC19, FIND("[", AC19) + 1, FIND(",", AC19) - FIND("[", AC19) - 1) * 1):INDEX(A:A, MID(AC19, FIND(",", AC19) + 1, FIND("]", AC19) - FIND(",", AC19) - 1) * 1)), "")), "")</f>
        <v/>
      </c>
      <c r="AE19" s="25" t="str">
        <f t="shared" si="1"/>
        <v/>
      </c>
      <c r="AF19" t="str">
        <f t="shared" si="2"/>
        <v/>
      </c>
      <c r="AG19" t="str" cm="1">
        <f t="array" ref="AG19">IFERROR(_xlfn.TEXTJOIN(", ", TRUE, IF(INDEX(A:A, MID(AF19, FIND("[", AF19) + 1, FIND(",", AF19) - FIND("[", AF19) - 1) * 1):INDEX(A:A, MID(AF19, FIND(",", AF19) + 1, FIND("]", AF19) - FIND(",", AF19) - 1) * 1) = Y19, ROW(INDEX(A:A, MID(AF19, FIND("[", AF19) + 1, FIND(",", AF19) - FIND("[", AF19) - 1) * 1):INDEX(A:A, MID(AF19, FIND(",", AF19) + 1, FIND("]", AF19) - FIND(",", AF19) - 1) * 1)), "")), "")</f>
        <v/>
      </c>
      <c r="AH19" s="24" t="str">
        <f t="shared" si="3"/>
        <v/>
      </c>
    </row>
    <row r="20" spans="1:34" x14ac:dyDescent="0.3">
      <c r="A20" s="21" t="s">
        <v>4</v>
      </c>
      <c r="B20" s="38" t="s">
        <v>48</v>
      </c>
      <c r="C20" s="38" t="s">
        <v>48</v>
      </c>
      <c r="D20" s="38" t="s">
        <v>48</v>
      </c>
      <c r="E20" s="38" t="s">
        <v>48</v>
      </c>
      <c r="F20" s="38" t="s">
        <v>48</v>
      </c>
      <c r="G20" s="38" t="s">
        <v>48</v>
      </c>
      <c r="H20" s="38" t="s">
        <v>48</v>
      </c>
      <c r="I20" s="38" t="s">
        <v>48</v>
      </c>
      <c r="J20" s="38" t="s">
        <v>48</v>
      </c>
      <c r="K20" s="38" t="s">
        <v>48</v>
      </c>
      <c r="L20" s="38" t="s">
        <v>48</v>
      </c>
      <c r="M20" s="38" t="s">
        <v>48</v>
      </c>
      <c r="N20" s="38" t="s">
        <v>48</v>
      </c>
      <c r="Y20" t="str">
        <f t="shared" si="4"/>
        <v/>
      </c>
      <c r="Z20" t="str">
        <f t="shared" si="5"/>
        <v/>
      </c>
      <c r="AA20" t="str" cm="1">
        <f t="array" ref="AA20">IF(U20="", "", IFERROR(_xlfn.TEXTJOIN(", ", TRUE, IF((A$1:V$200=U20)*(ROW(A$1:V$200)&lt;&gt;ROW(U20))*(COLUMN(A$1:V$200)&lt;&gt;COLUMN(U20)), ADDRESS(ROW(A$1:V$200), COLUMN(A$1:V$200)), "")), "No Match"))</f>
        <v/>
      </c>
      <c r="AB20" t="str" cm="1">
        <f t="array" ref="AB20">IF(V20="", "", IFERROR(_xlfn.TEXTJOIN(", ", TRUE, IF((A$1:V$200=V20)*(ROW(A$1:V$200)&lt;&gt;ROW(V20))*(COLUMN(A$1:V$200)&lt;&gt;COLUMN(V20)), ADDRESS(ROW(A$1:V$200), COLUMN(A$1:V$200)), "")), "No Match"))</f>
        <v/>
      </c>
      <c r="AC20" t="str">
        <f t="shared" si="0"/>
        <v/>
      </c>
      <c r="AD20" t="str" cm="1">
        <f t="array" ref="AD20">IFERROR(_xlfn.TEXTJOIN(", ", TRUE, IF(INDEX(A:A, MID(AC20, FIND("[", AC20) + 1, FIND(",", AC20) - FIND("[", AC20) - 1) * 1):INDEX(A:A, MID(AC20, FIND(",", AC20) + 1, FIND("]", AC20) - FIND(",", AC20) - 1) * 1) = Y20, ROW(INDEX(A:A, MID(AC20, FIND("[", AC20) + 1, FIND(",", AC20) - FIND("[", AC20) - 1) * 1):INDEX(A:A, MID(AC20, FIND(",", AC20) + 1, FIND("]", AC20) - FIND(",", AC20) - 1) * 1)), "")), "")</f>
        <v/>
      </c>
      <c r="AE20" s="25" t="str">
        <f t="shared" si="1"/>
        <v/>
      </c>
      <c r="AF20" t="str">
        <f t="shared" si="2"/>
        <v/>
      </c>
      <c r="AG20" t="str" cm="1">
        <f t="array" ref="AG20">IFERROR(_xlfn.TEXTJOIN(", ", TRUE, IF(INDEX(A:A, MID(AF20, FIND("[", AF20) + 1, FIND(",", AF20) - FIND("[", AF20) - 1) * 1):INDEX(A:A, MID(AF20, FIND(",", AF20) + 1, FIND("]", AF20) - FIND(",", AF20) - 1) * 1) = Y20, ROW(INDEX(A:A, MID(AF20, FIND("[", AF20) + 1, FIND(",", AF20) - FIND("[", AF20) - 1) * 1):INDEX(A:A, MID(AF20, FIND(",", AF20) + 1, FIND("]", AF20) - FIND(",", AF20) - 1) * 1)), "")), "")</f>
        <v/>
      </c>
      <c r="AH20" s="24" t="str">
        <f t="shared" si="3"/>
        <v/>
      </c>
    </row>
    <row r="21" spans="1:34" x14ac:dyDescent="0.3">
      <c r="A21" s="21" t="s">
        <v>5</v>
      </c>
      <c r="B21" s="39" t="s">
        <v>49</v>
      </c>
      <c r="C21" s="39" t="s">
        <v>49</v>
      </c>
      <c r="D21" s="39" t="s">
        <v>49</v>
      </c>
      <c r="E21" s="39" t="s">
        <v>49</v>
      </c>
      <c r="F21" s="39" t="s">
        <v>49</v>
      </c>
      <c r="G21" s="39" t="s">
        <v>49</v>
      </c>
      <c r="H21" s="39" t="s">
        <v>49</v>
      </c>
      <c r="I21" s="39" t="s">
        <v>49</v>
      </c>
      <c r="J21" s="39" t="s">
        <v>49</v>
      </c>
      <c r="K21" s="39" t="s">
        <v>49</v>
      </c>
      <c r="L21" s="39" t="s">
        <v>49</v>
      </c>
      <c r="M21" s="39" t="s">
        <v>49</v>
      </c>
      <c r="N21" s="39" t="s">
        <v>49</v>
      </c>
      <c r="Y21" t="str">
        <f t="shared" si="4"/>
        <v/>
      </c>
      <c r="Z21" t="str">
        <f t="shared" si="5"/>
        <v/>
      </c>
      <c r="AA21" t="str" cm="1">
        <f t="array" ref="AA21">IF(U21="", "", IFERROR(_xlfn.TEXTJOIN(", ", TRUE, IF((A$1:V$200=U21)*(ROW(A$1:V$200)&lt;&gt;ROW(U21))*(COLUMN(A$1:V$200)&lt;&gt;COLUMN(U21)), ADDRESS(ROW(A$1:V$200), COLUMN(A$1:V$200)), "")), "No Match"))</f>
        <v/>
      </c>
      <c r="AB21" t="str" cm="1">
        <f t="array" ref="AB21">IF(V21="", "", IFERROR(_xlfn.TEXTJOIN(", ", TRUE, IF((A$1:V$200=V21)*(ROW(A$1:V$200)&lt;&gt;ROW(V21))*(COLUMN(A$1:V$200)&lt;&gt;COLUMN(V21)), ADDRESS(ROW(A$1:V$200), COLUMN(A$1:V$200)), "")), "No Match"))</f>
        <v/>
      </c>
      <c r="AC21" t="str">
        <f t="shared" si="0"/>
        <v/>
      </c>
      <c r="AD21" t="str" cm="1">
        <f t="array" ref="AD21">IFERROR(_xlfn.TEXTJOIN(", ", TRUE, IF(INDEX(A:A, MID(AC21, FIND("[", AC21) + 1, FIND(",", AC21) - FIND("[", AC21) - 1) * 1):INDEX(A:A, MID(AC21, FIND(",", AC21) + 1, FIND("]", AC21) - FIND(",", AC21) - 1) * 1) = Y21, ROW(INDEX(A:A, MID(AC21, FIND("[", AC21) + 1, FIND(",", AC21) - FIND("[", AC21) - 1) * 1):INDEX(A:A, MID(AC21, FIND(",", AC21) + 1, FIND("]", AC21) - FIND(",", AC21) - 1) * 1)), "")), "")</f>
        <v/>
      </c>
      <c r="AE21" s="25" t="str">
        <f t="shared" si="1"/>
        <v/>
      </c>
      <c r="AF21" t="str">
        <f t="shared" si="2"/>
        <v/>
      </c>
      <c r="AG21" t="str" cm="1">
        <f t="array" ref="AG21">IFERROR(_xlfn.TEXTJOIN(", ", TRUE, IF(INDEX(A:A, MID(AF21, FIND("[", AF21) + 1, FIND(",", AF21) - FIND("[", AF21) - 1) * 1):INDEX(A:A, MID(AF21, FIND(",", AF21) + 1, FIND("]", AF21) - FIND(",", AF21) - 1) * 1) = Y21, ROW(INDEX(A:A, MID(AF21, FIND("[", AF21) + 1, FIND(",", AF21) - FIND("[", AF21) - 1) * 1):INDEX(A:A, MID(AF21, FIND(",", AF21) + 1, FIND("]", AF21) - FIND(",", AF21) - 1) * 1)), "")), "")</f>
        <v/>
      </c>
      <c r="AH21" s="24" t="str">
        <f t="shared" si="3"/>
        <v/>
      </c>
    </row>
    <row r="22" spans="1:34" ht="15.6" x14ac:dyDescent="0.3">
      <c r="A22" s="33" t="s">
        <v>7</v>
      </c>
      <c r="B22" s="34">
        <v>45717</v>
      </c>
      <c r="C22" s="34">
        <v>45718</v>
      </c>
      <c r="D22" s="34">
        <v>45719</v>
      </c>
      <c r="E22" s="34">
        <v>45720</v>
      </c>
      <c r="F22" s="34">
        <v>45721</v>
      </c>
      <c r="G22" s="34">
        <v>45722</v>
      </c>
      <c r="H22" s="34">
        <v>45723</v>
      </c>
      <c r="I22" s="34">
        <v>45724</v>
      </c>
      <c r="J22" s="34">
        <v>45725</v>
      </c>
      <c r="K22" s="34">
        <v>45726</v>
      </c>
      <c r="L22" s="34">
        <v>45727</v>
      </c>
      <c r="M22" s="34">
        <v>45728</v>
      </c>
      <c r="N22" s="34">
        <v>45729</v>
      </c>
      <c r="O22" s="34">
        <v>45730</v>
      </c>
      <c r="P22" s="34">
        <v>45731</v>
      </c>
      <c r="Y22" t="str">
        <f t="shared" si="4"/>
        <v/>
      </c>
      <c r="Z22" t="str">
        <f t="shared" si="5"/>
        <v/>
      </c>
      <c r="AA22" t="str" cm="1">
        <f t="array" ref="AA22">IF(U22="", "", IFERROR(_xlfn.TEXTJOIN(", ", TRUE, IF((A$1:V$200=U22)*(ROW(A$1:V$200)&lt;&gt;ROW(U22))*(COLUMN(A$1:V$200)&lt;&gt;COLUMN(U22)), ADDRESS(ROW(A$1:V$200), COLUMN(A$1:V$200)), "")), "No Match"))</f>
        <v/>
      </c>
      <c r="AB22" t="str" cm="1">
        <f t="array" ref="AB22">IF(V22="", "", IFERROR(_xlfn.TEXTJOIN(", ", TRUE, IF((A$1:V$200=V22)*(ROW(A$1:V$200)&lt;&gt;ROW(V22))*(COLUMN(A$1:V$200)&lt;&gt;COLUMN(V22)), ADDRESS(ROW(A$1:V$200), COLUMN(A$1:V$200)), "")), "No Match"))</f>
        <v/>
      </c>
      <c r="AC22" t="str">
        <f t="shared" si="0"/>
        <v/>
      </c>
      <c r="AD22" t="str" cm="1">
        <f t="array" ref="AD22">IFERROR(_xlfn.TEXTJOIN(", ", TRUE, IF(INDEX(A:A, MID(AC22, FIND("[", AC22) + 1, FIND(",", AC22) - FIND("[", AC22) - 1) * 1):INDEX(A:A, MID(AC22, FIND(",", AC22) + 1, FIND("]", AC22) - FIND(",", AC22) - 1) * 1) = Y22, ROW(INDEX(A:A, MID(AC22, FIND("[", AC22) + 1, FIND(",", AC22) - FIND("[", AC22) - 1) * 1):INDEX(A:A, MID(AC22, FIND(",", AC22) + 1, FIND("]", AC22) - FIND(",", AC22) - 1) * 1)), "")), "")</f>
        <v/>
      </c>
      <c r="AE22" s="25" t="str">
        <f t="shared" si="1"/>
        <v/>
      </c>
      <c r="AF22" t="str">
        <f t="shared" si="2"/>
        <v/>
      </c>
      <c r="AG22" t="str" cm="1">
        <f t="array" ref="AG22">IFERROR(_xlfn.TEXTJOIN(", ", TRUE, IF(INDEX(A:A, MID(AF22, FIND("[", AF22) + 1, FIND(",", AF22) - FIND("[", AF22) - 1) * 1):INDEX(A:A, MID(AF22, FIND(",", AF22) + 1, FIND("]", AF22) - FIND(",", AF22) - 1) * 1) = Y22, ROW(INDEX(A:A, MID(AF22, FIND("[", AF22) + 1, FIND(",", AF22) - FIND("[", AF22) - 1) * 1):INDEX(A:A, MID(AF22, FIND(",", AF22) + 1, FIND("]", AF22) - FIND(",", AF22) - 1) * 1)), "")), "")</f>
        <v/>
      </c>
      <c r="AH22" s="24" t="str">
        <f t="shared" si="3"/>
        <v/>
      </c>
    </row>
    <row r="23" spans="1:34" x14ac:dyDescent="0.3">
      <c r="A23" s="21" t="s">
        <v>32</v>
      </c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Y23" t="str">
        <f t="shared" si="4"/>
        <v/>
      </c>
      <c r="Z23" t="str">
        <f t="shared" si="5"/>
        <v/>
      </c>
      <c r="AA23" t="str" cm="1">
        <f t="array" ref="AA23">IF(U23="", "", IFERROR(_xlfn.TEXTJOIN(", ", TRUE, IF((A$1:V$200=U23)*(ROW(A$1:V$200)&lt;&gt;ROW(U23))*(COLUMN(A$1:V$200)&lt;&gt;COLUMN(U23)), ADDRESS(ROW(A$1:V$200), COLUMN(A$1:V$200)), "")), "No Match"))</f>
        <v/>
      </c>
      <c r="AB23" t="str" cm="1">
        <f t="array" ref="AB23">IF(V23="", "", IFERROR(_xlfn.TEXTJOIN(", ", TRUE, IF((A$1:V$200=V23)*(ROW(A$1:V$200)&lt;&gt;ROW(V23))*(COLUMN(A$1:V$200)&lt;&gt;COLUMN(V23)), ADDRESS(ROW(A$1:V$200), COLUMN(A$1:V$200)), "")), "No Match"))</f>
        <v/>
      </c>
      <c r="AC23" t="str">
        <f t="shared" si="0"/>
        <v/>
      </c>
      <c r="AD23" t="str" cm="1">
        <f t="array" ref="AD23">IFERROR(_xlfn.TEXTJOIN(", ", TRUE, IF(INDEX(A:A, MID(AC23, FIND("[", AC23) + 1, FIND(",", AC23) - FIND("[", AC23) - 1) * 1):INDEX(A:A, MID(AC23, FIND(",", AC23) + 1, FIND("]", AC23) - FIND(",", AC23) - 1) * 1) = Y23, ROW(INDEX(A:A, MID(AC23, FIND("[", AC23) + 1, FIND(",", AC23) - FIND("[", AC23) - 1) * 1):INDEX(A:A, MID(AC23, FIND(",", AC23) + 1, FIND("]", AC23) - FIND(",", AC23) - 1) * 1)), "")), "")</f>
        <v/>
      </c>
      <c r="AE23" s="25" t="str">
        <f t="shared" si="1"/>
        <v/>
      </c>
      <c r="AF23" t="str">
        <f t="shared" si="2"/>
        <v/>
      </c>
      <c r="AG23" t="str" cm="1">
        <f t="array" ref="AG23">IFERROR(_xlfn.TEXTJOIN(", ", TRUE, IF(INDEX(A:A, MID(AF23, FIND("[", AF23) + 1, FIND(",", AF23) - FIND("[", AF23) - 1) * 1):INDEX(A:A, MID(AF23, FIND(",", AF23) + 1, FIND("]", AF23) - FIND(",", AF23) - 1) * 1) = Y23, ROW(INDEX(A:A, MID(AF23, FIND("[", AF23) + 1, FIND(",", AF23) - FIND("[", AF23) - 1) * 1):INDEX(A:A, MID(AF23, FIND(",", AF23) + 1, FIND("]", AF23) - FIND(",", AF23) - 1) * 1)), "")), "")</f>
        <v/>
      </c>
      <c r="AH23" s="24" t="str">
        <f t="shared" si="3"/>
        <v/>
      </c>
    </row>
    <row r="24" spans="1:34" x14ac:dyDescent="0.3">
      <c r="A24" s="21" t="s">
        <v>3</v>
      </c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Y24" t="str">
        <f t="shared" si="4"/>
        <v/>
      </c>
      <c r="Z24" t="str">
        <f t="shared" si="5"/>
        <v/>
      </c>
      <c r="AA24" t="str" cm="1">
        <f t="array" ref="AA24">IF(U24="", "", IFERROR(_xlfn.TEXTJOIN(", ", TRUE, IF((A$1:V$200=U24)*(ROW(A$1:V$200)&lt;&gt;ROW(U24))*(COLUMN(A$1:V$200)&lt;&gt;COLUMN(U24)), ADDRESS(ROW(A$1:V$200), COLUMN(A$1:V$200)), "")), "No Match"))</f>
        <v/>
      </c>
      <c r="AB24" t="str" cm="1">
        <f t="array" ref="AB24">IF(V24="", "", IFERROR(_xlfn.TEXTJOIN(", ", TRUE, IF((A$1:V$200=V24)*(ROW(A$1:V$200)&lt;&gt;ROW(V24))*(COLUMN(A$1:V$200)&lt;&gt;COLUMN(V24)), ADDRESS(ROW(A$1:V$200), COLUMN(A$1:V$200)), "")), "No Match"))</f>
        <v/>
      </c>
      <c r="AC24" t="str">
        <f t="shared" si="0"/>
        <v/>
      </c>
      <c r="AD24" t="str" cm="1">
        <f t="array" ref="AD24">IFERROR(_xlfn.TEXTJOIN(", ", TRUE, IF(INDEX(A:A, MID(AC24, FIND("[", AC24) + 1, FIND(",", AC24) - FIND("[", AC24) - 1) * 1):INDEX(A:A, MID(AC24, FIND(",", AC24) + 1, FIND("]", AC24) - FIND(",", AC24) - 1) * 1) = Y24, ROW(INDEX(A:A, MID(AC24, FIND("[", AC24) + 1, FIND(",", AC24) - FIND("[", AC24) - 1) * 1):INDEX(A:A, MID(AC24, FIND(",", AC24) + 1, FIND("]", AC24) - FIND(",", AC24) - 1) * 1)), "")), "")</f>
        <v/>
      </c>
      <c r="AE24" s="25" t="str">
        <f t="shared" si="1"/>
        <v/>
      </c>
      <c r="AF24" t="str">
        <f t="shared" si="2"/>
        <v/>
      </c>
      <c r="AG24" t="str" cm="1">
        <f t="array" ref="AG24">IFERROR(_xlfn.TEXTJOIN(", ", TRUE, IF(INDEX(A:A, MID(AF24, FIND("[", AF24) + 1, FIND(",", AF24) - FIND("[", AF24) - 1) * 1):INDEX(A:A, MID(AF24, FIND(",", AF24) + 1, FIND("]", AF24) - FIND(",", AF24) - 1) * 1) = Y24, ROW(INDEX(A:A, MID(AF24, FIND("[", AF24) + 1, FIND(",", AF24) - FIND("[", AF24) - 1) * 1):INDEX(A:A, MID(AF24, FIND(",", AF24) + 1, FIND("]", AF24) - FIND(",", AF24) - 1) * 1)), "")), "")</f>
        <v/>
      </c>
      <c r="AH24" s="24" t="str">
        <f t="shared" si="3"/>
        <v/>
      </c>
    </row>
    <row r="25" spans="1:34" x14ac:dyDescent="0.3">
      <c r="A25" s="21" t="s">
        <v>4</v>
      </c>
      <c r="B25" s="38" t="s">
        <v>48</v>
      </c>
      <c r="C25" s="38" t="s">
        <v>48</v>
      </c>
      <c r="D25" s="38" t="s">
        <v>48</v>
      </c>
      <c r="E25" s="38" t="s">
        <v>48</v>
      </c>
      <c r="F25" s="38" t="s">
        <v>48</v>
      </c>
      <c r="G25" s="38" t="s">
        <v>48</v>
      </c>
      <c r="H25" s="38" t="s">
        <v>48</v>
      </c>
      <c r="I25" s="38" t="s">
        <v>48</v>
      </c>
      <c r="J25" s="38" t="s">
        <v>48</v>
      </c>
      <c r="K25" s="38" t="s">
        <v>48</v>
      </c>
      <c r="L25" s="38" t="s">
        <v>48</v>
      </c>
      <c r="M25" s="38" t="s">
        <v>48</v>
      </c>
      <c r="N25" s="38" t="s">
        <v>48</v>
      </c>
      <c r="O25" s="38" t="s">
        <v>48</v>
      </c>
      <c r="P25" s="38" t="s">
        <v>48</v>
      </c>
      <c r="Y25" t="str">
        <f t="shared" si="4"/>
        <v/>
      </c>
      <c r="Z25" t="str">
        <f t="shared" si="5"/>
        <v/>
      </c>
      <c r="AA25" t="str" cm="1">
        <f t="array" ref="AA25">IF(U25="", "", IFERROR(_xlfn.TEXTJOIN(", ", TRUE, IF((A$1:V$200=U25)*(ROW(A$1:V$200)&lt;&gt;ROW(U25))*(COLUMN(A$1:V$200)&lt;&gt;COLUMN(U25)), ADDRESS(ROW(A$1:V$200), COLUMN(A$1:V$200)), "")), "No Match"))</f>
        <v/>
      </c>
      <c r="AB25" t="str" cm="1">
        <f t="array" ref="AB25">IF(V25="", "", IFERROR(_xlfn.TEXTJOIN(", ", TRUE, IF((A$1:V$200=V25)*(ROW(A$1:V$200)&lt;&gt;ROW(V25))*(COLUMN(A$1:V$200)&lt;&gt;COLUMN(V25)), ADDRESS(ROW(A$1:V$200), COLUMN(A$1:V$200)), "")), "No Match"))</f>
        <v/>
      </c>
      <c r="AC25" t="str">
        <f t="shared" si="0"/>
        <v/>
      </c>
      <c r="AD25" t="str" cm="1">
        <f t="array" ref="AD25">IFERROR(_xlfn.TEXTJOIN(", ", TRUE, IF(INDEX(A:A, MID(AC25, FIND("[", AC25) + 1, FIND(",", AC25) - FIND("[", AC25) - 1) * 1):INDEX(A:A, MID(AC25, FIND(",", AC25) + 1, FIND("]", AC25) - FIND(",", AC25) - 1) * 1) = Y25, ROW(INDEX(A:A, MID(AC25, FIND("[", AC25) + 1, FIND(",", AC25) - FIND("[", AC25) - 1) * 1):INDEX(A:A, MID(AC25, FIND(",", AC25) + 1, FIND("]", AC25) - FIND(",", AC25) - 1) * 1)), "")), "")</f>
        <v/>
      </c>
      <c r="AE25" s="25" t="str">
        <f t="shared" si="1"/>
        <v/>
      </c>
      <c r="AF25" t="str">
        <f t="shared" si="2"/>
        <v/>
      </c>
      <c r="AG25" t="str" cm="1">
        <f t="array" ref="AG25">IFERROR(_xlfn.TEXTJOIN(", ", TRUE, IF(INDEX(A:A, MID(AF25, FIND("[", AF25) + 1, FIND(",", AF25) - FIND("[", AF25) - 1) * 1):INDEX(A:A, MID(AF25, FIND(",", AF25) + 1, FIND("]", AF25) - FIND(",", AF25) - 1) * 1) = Y25, ROW(INDEX(A:A, MID(AF25, FIND("[", AF25) + 1, FIND(",", AF25) - FIND("[", AF25) - 1) * 1):INDEX(A:A, MID(AF25, FIND(",", AF25) + 1, FIND("]", AF25) - FIND(",", AF25) - 1) * 1)), "")), "")</f>
        <v/>
      </c>
      <c r="AH25" s="24" t="str">
        <f t="shared" si="3"/>
        <v/>
      </c>
    </row>
    <row r="26" spans="1:34" x14ac:dyDescent="0.3">
      <c r="A26" s="21" t="s">
        <v>5</v>
      </c>
      <c r="B26" s="39" t="s">
        <v>49</v>
      </c>
      <c r="C26" s="39" t="s">
        <v>49</v>
      </c>
      <c r="D26" s="39" t="s">
        <v>49</v>
      </c>
      <c r="E26" s="39" t="s">
        <v>49</v>
      </c>
      <c r="F26" s="39" t="s">
        <v>49</v>
      </c>
      <c r="G26" s="39" t="s">
        <v>49</v>
      </c>
      <c r="H26" s="39" t="s">
        <v>49</v>
      </c>
      <c r="I26" s="39" t="s">
        <v>49</v>
      </c>
      <c r="J26" s="39" t="s">
        <v>49</v>
      </c>
      <c r="K26" s="39" t="s">
        <v>49</v>
      </c>
      <c r="L26" s="39" t="s">
        <v>49</v>
      </c>
      <c r="M26" s="30"/>
      <c r="N26" s="30"/>
      <c r="O26" s="30"/>
      <c r="P26" s="30"/>
      <c r="Y26" t="str">
        <f t="shared" si="4"/>
        <v/>
      </c>
      <c r="Z26" t="str">
        <f t="shared" si="5"/>
        <v/>
      </c>
      <c r="AA26" t="str" cm="1">
        <f t="array" ref="AA26">IF(U26="", "", IFERROR(_xlfn.TEXTJOIN(", ", TRUE, IF((A$1:V$200=U26)*(ROW(A$1:V$200)&lt;&gt;ROW(U26))*(COLUMN(A$1:V$200)&lt;&gt;COLUMN(U26)), ADDRESS(ROW(A$1:V$200), COLUMN(A$1:V$200)), "")), "No Match"))</f>
        <v/>
      </c>
      <c r="AB26" t="str" cm="1">
        <f t="array" ref="AB26">IF(V26="", "", IFERROR(_xlfn.TEXTJOIN(", ", TRUE, IF((A$1:V$200=V26)*(ROW(A$1:V$200)&lt;&gt;ROW(V26))*(COLUMN(A$1:V$200)&lt;&gt;COLUMN(V26)), ADDRESS(ROW(A$1:V$200), COLUMN(A$1:V$200)), "")), "No Match"))</f>
        <v/>
      </c>
      <c r="AC26" t="str">
        <f t="shared" si="0"/>
        <v/>
      </c>
      <c r="AD26" t="str" cm="1">
        <f t="array" ref="AD26">IFERROR(_xlfn.TEXTJOIN(", ", TRUE, IF(INDEX(A:A, MID(AC26, FIND("[", AC26) + 1, FIND(",", AC26) - FIND("[", AC26) - 1) * 1):INDEX(A:A, MID(AC26, FIND(",", AC26) + 1, FIND("]", AC26) - FIND(",", AC26) - 1) * 1) = Y26, ROW(INDEX(A:A, MID(AC26, FIND("[", AC26) + 1, FIND(",", AC26) - FIND("[", AC26) - 1) * 1):INDEX(A:A, MID(AC26, FIND(",", AC26) + 1, FIND("]", AC26) - FIND(",", AC26) - 1) * 1)), "")), "")</f>
        <v/>
      </c>
      <c r="AE26" s="25" t="str">
        <f t="shared" si="1"/>
        <v/>
      </c>
      <c r="AF26" t="str">
        <f t="shared" si="2"/>
        <v/>
      </c>
      <c r="AG26" t="str" cm="1">
        <f t="array" ref="AG26">IFERROR(_xlfn.TEXTJOIN(", ", TRUE, IF(INDEX(A:A, MID(AF26, FIND("[", AF26) + 1, FIND(",", AF26) - FIND("[", AF26) - 1) * 1):INDEX(A:A, MID(AF26, FIND(",", AF26) + 1, FIND("]", AF26) - FIND(",", AF26) - 1) * 1) = Y26, ROW(INDEX(A:A, MID(AF26, FIND("[", AF26) + 1, FIND(",", AF26) - FIND("[", AF26) - 1) * 1):INDEX(A:A, MID(AF26, FIND(",", AF26) + 1, FIND("]", AF26) - FIND(",", AF26) - 1) * 1)), "")), "")</f>
        <v/>
      </c>
      <c r="AH26" s="24" t="str">
        <f t="shared" si="3"/>
        <v/>
      </c>
    </row>
    <row r="27" spans="1:34" ht="15.6" x14ac:dyDescent="0.3">
      <c r="A27" s="33" t="s">
        <v>7</v>
      </c>
      <c r="B27" s="34">
        <v>45732</v>
      </c>
      <c r="C27" s="34">
        <v>45733</v>
      </c>
      <c r="D27" s="34">
        <v>45734</v>
      </c>
      <c r="E27" s="34">
        <v>45735</v>
      </c>
      <c r="F27" s="34">
        <v>45736</v>
      </c>
      <c r="G27" s="34">
        <v>45737</v>
      </c>
      <c r="H27" s="34">
        <v>45738</v>
      </c>
      <c r="I27" s="34">
        <v>45739</v>
      </c>
      <c r="J27" s="34">
        <v>45740</v>
      </c>
      <c r="K27" s="34">
        <v>45741</v>
      </c>
      <c r="L27" s="34">
        <v>45742</v>
      </c>
      <c r="M27" s="34">
        <v>45743</v>
      </c>
      <c r="N27" s="34">
        <v>45744</v>
      </c>
      <c r="O27" s="34">
        <v>45745</v>
      </c>
      <c r="P27" s="34">
        <v>45746</v>
      </c>
      <c r="Q27" s="34">
        <v>45747</v>
      </c>
      <c r="Y27" t="str">
        <f t="shared" si="4"/>
        <v/>
      </c>
      <c r="Z27" t="str">
        <f t="shared" si="5"/>
        <v/>
      </c>
      <c r="AA27" t="str" cm="1">
        <f t="array" ref="AA27">IF(U27="", "", IFERROR(_xlfn.TEXTJOIN(", ", TRUE, IF((A$1:V$200=U27)*(ROW(A$1:V$200)&lt;&gt;ROW(U27))*(COLUMN(A$1:V$200)&lt;&gt;COLUMN(U27)), ADDRESS(ROW(A$1:V$200), COLUMN(A$1:V$200)), "")), "No Match"))</f>
        <v/>
      </c>
      <c r="AB27" t="str" cm="1">
        <f t="array" ref="AB27">IF(V27="", "", IFERROR(_xlfn.TEXTJOIN(", ", TRUE, IF((A$1:V$200=V27)*(ROW(A$1:V$200)&lt;&gt;ROW(V27))*(COLUMN(A$1:V$200)&lt;&gt;COLUMN(V27)), ADDRESS(ROW(A$1:V$200), COLUMN(A$1:V$200)), "")), "No Match"))</f>
        <v/>
      </c>
      <c r="AC27" t="str">
        <f t="shared" si="0"/>
        <v/>
      </c>
      <c r="AD27" t="str" cm="1">
        <f t="array" ref="AD27">IFERROR(_xlfn.TEXTJOIN(", ", TRUE, IF(INDEX(A:A, MID(AC27, FIND("[", AC27) + 1, FIND(",", AC27) - FIND("[", AC27) - 1) * 1):INDEX(A:A, MID(AC27, FIND(",", AC27) + 1, FIND("]", AC27) - FIND(",", AC27) - 1) * 1) = Y27, ROW(INDEX(A:A, MID(AC27, FIND("[", AC27) + 1, FIND(",", AC27) - FIND("[", AC27) - 1) * 1):INDEX(A:A, MID(AC27, FIND(",", AC27) + 1, FIND("]", AC27) - FIND(",", AC27) - 1) * 1)), "")), "")</f>
        <v/>
      </c>
      <c r="AE27" s="25" t="str">
        <f t="shared" si="1"/>
        <v/>
      </c>
      <c r="AF27" t="str">
        <f t="shared" si="2"/>
        <v/>
      </c>
      <c r="AG27" t="str" cm="1">
        <f t="array" ref="AG27">IFERROR(_xlfn.TEXTJOIN(", ", TRUE, IF(INDEX(A:A, MID(AF27, FIND("[", AF27) + 1, FIND(",", AF27) - FIND("[", AF27) - 1) * 1):INDEX(A:A, MID(AF27, FIND(",", AF27) + 1, FIND("]", AF27) - FIND(",", AF27) - 1) * 1) = Y27, ROW(INDEX(A:A, MID(AF27, FIND("[", AF27) + 1, FIND(",", AF27) - FIND("[", AF27) - 1) * 1):INDEX(A:A, MID(AF27, FIND(",", AF27) + 1, FIND("]", AF27) - FIND(",", AF27) - 1) * 1)), "")), "")</f>
        <v/>
      </c>
      <c r="AH27" s="24" t="str">
        <f t="shared" si="3"/>
        <v/>
      </c>
    </row>
    <row r="28" spans="1:34" x14ac:dyDescent="0.3">
      <c r="A28" s="21" t="s">
        <v>32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Y28" t="str">
        <f t="shared" si="4"/>
        <v/>
      </c>
      <c r="Z28" t="str">
        <f t="shared" si="5"/>
        <v/>
      </c>
      <c r="AA28" t="str" cm="1">
        <f t="array" ref="AA28">IF(U28="", "", IFERROR(_xlfn.TEXTJOIN(", ", TRUE, IF((A$1:V$200=U28)*(ROW(A$1:V$200)&lt;&gt;ROW(U28))*(COLUMN(A$1:V$200)&lt;&gt;COLUMN(U28)), ADDRESS(ROW(A$1:V$200), COLUMN(A$1:V$200)), "")), "No Match"))</f>
        <v/>
      </c>
      <c r="AB28" t="str" cm="1">
        <f t="array" ref="AB28">IF(V28="", "", IFERROR(_xlfn.TEXTJOIN(", ", TRUE, IF((A$1:V$200=V28)*(ROW(A$1:V$200)&lt;&gt;ROW(V28))*(COLUMN(A$1:V$200)&lt;&gt;COLUMN(V28)), ADDRESS(ROW(A$1:V$200), COLUMN(A$1:V$200)), "")), "No Match"))</f>
        <v/>
      </c>
      <c r="AC28" t="str">
        <f t="shared" si="0"/>
        <v/>
      </c>
      <c r="AD28" t="str" cm="1">
        <f t="array" ref="AD28">IFERROR(_xlfn.TEXTJOIN(", ", TRUE, IF(INDEX(A:A, MID(AC28, FIND("[", AC28) + 1, FIND(",", AC28) - FIND("[", AC28) - 1) * 1):INDEX(A:A, MID(AC28, FIND(",", AC28) + 1, FIND("]", AC28) - FIND(",", AC28) - 1) * 1) = Y28, ROW(INDEX(A:A, MID(AC28, FIND("[", AC28) + 1, FIND(",", AC28) - FIND("[", AC28) - 1) * 1):INDEX(A:A, MID(AC28, FIND(",", AC28) + 1, FIND("]", AC28) - FIND(",", AC28) - 1) * 1)), "")), "")</f>
        <v/>
      </c>
      <c r="AE28" s="25" t="str">
        <f t="shared" si="1"/>
        <v/>
      </c>
      <c r="AF28" t="str">
        <f t="shared" si="2"/>
        <v/>
      </c>
      <c r="AG28" t="str" cm="1">
        <f t="array" ref="AG28">IFERROR(_xlfn.TEXTJOIN(", ", TRUE, IF(INDEX(A:A, MID(AF28, FIND("[", AF28) + 1, FIND(",", AF28) - FIND("[", AF28) - 1) * 1):INDEX(A:A, MID(AF28, FIND(",", AF28) + 1, FIND("]", AF28) - FIND(",", AF28) - 1) * 1) = Y28, ROW(INDEX(A:A, MID(AF28, FIND("[", AF28) + 1, FIND(",", AF28) - FIND("[", AF28) - 1) * 1):INDEX(A:A, MID(AF28, FIND(",", AF28) + 1, FIND("]", AF28) - FIND(",", AF28) - 1) * 1)), "")), "")</f>
        <v/>
      </c>
      <c r="AH28" s="24" t="str">
        <f t="shared" si="3"/>
        <v/>
      </c>
    </row>
    <row r="29" spans="1:34" x14ac:dyDescent="0.3">
      <c r="A29" s="21" t="s">
        <v>3</v>
      </c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Y29" t="str">
        <f t="shared" si="4"/>
        <v/>
      </c>
      <c r="Z29" t="str">
        <f t="shared" si="5"/>
        <v/>
      </c>
      <c r="AA29" t="str" cm="1">
        <f t="array" ref="AA29">IF(U29="", "", IFERROR(_xlfn.TEXTJOIN(", ", TRUE, IF((A$1:V$200=U29)*(ROW(A$1:V$200)&lt;&gt;ROW(U29))*(COLUMN(A$1:V$200)&lt;&gt;COLUMN(U29)), ADDRESS(ROW(A$1:V$200), COLUMN(A$1:V$200)), "")), "No Match"))</f>
        <v/>
      </c>
      <c r="AB29" t="str" cm="1">
        <f t="array" ref="AB29">IF(V29="", "", IFERROR(_xlfn.TEXTJOIN(", ", TRUE, IF((A$1:V$200=V29)*(ROW(A$1:V$200)&lt;&gt;ROW(V29))*(COLUMN(A$1:V$200)&lt;&gt;COLUMN(V29)), ADDRESS(ROW(A$1:V$200), COLUMN(A$1:V$200)), "")), "No Match"))</f>
        <v/>
      </c>
      <c r="AC29" t="str">
        <f t="shared" si="0"/>
        <v/>
      </c>
      <c r="AD29" t="str" cm="1">
        <f t="array" ref="AD29">IFERROR(_xlfn.TEXTJOIN(", ", TRUE, IF(INDEX(A:A, MID(AC29, FIND("[", AC29) + 1, FIND(",", AC29) - FIND("[", AC29) - 1) * 1):INDEX(A:A, MID(AC29, FIND(",", AC29) + 1, FIND("]", AC29) - FIND(",", AC29) - 1) * 1) = Y29, ROW(INDEX(A:A, MID(AC29, FIND("[", AC29) + 1, FIND(",", AC29) - FIND("[", AC29) - 1) * 1):INDEX(A:A, MID(AC29, FIND(",", AC29) + 1, FIND("]", AC29) - FIND(",", AC29) - 1) * 1)), "")), "")</f>
        <v/>
      </c>
      <c r="AE29" s="25" t="str">
        <f t="shared" si="1"/>
        <v/>
      </c>
      <c r="AF29" t="str">
        <f t="shared" si="2"/>
        <v/>
      </c>
      <c r="AG29" t="str" cm="1">
        <f t="array" ref="AG29">IFERROR(_xlfn.TEXTJOIN(", ", TRUE, IF(INDEX(A:A, MID(AF29, FIND("[", AF29) + 1, FIND(",", AF29) - FIND("[", AF29) - 1) * 1):INDEX(A:A, MID(AF29, FIND(",", AF29) + 1, FIND("]", AF29) - FIND(",", AF29) - 1) * 1) = Y29, ROW(INDEX(A:A, MID(AF29, FIND("[", AF29) + 1, FIND(",", AF29) - FIND("[", AF29) - 1) * 1):INDEX(A:A, MID(AF29, FIND(",", AF29) + 1, FIND("]", AF29) - FIND(",", AF29) - 1) * 1)), "")), "")</f>
        <v/>
      </c>
      <c r="AH29" s="24" t="str">
        <f t="shared" si="3"/>
        <v/>
      </c>
    </row>
    <row r="30" spans="1:34" x14ac:dyDescent="0.3">
      <c r="A30" s="21" t="s">
        <v>4</v>
      </c>
      <c r="B30" s="38" t="s">
        <v>48</v>
      </c>
      <c r="C30" s="38" t="s">
        <v>48</v>
      </c>
      <c r="D30" s="38" t="s">
        <v>48</v>
      </c>
      <c r="E30" s="38" t="s">
        <v>48</v>
      </c>
      <c r="F30" s="38" t="s">
        <v>48</v>
      </c>
      <c r="G30" s="38" t="s">
        <v>48</v>
      </c>
      <c r="H30" s="38" t="s">
        <v>48</v>
      </c>
      <c r="I30" s="38" t="s">
        <v>48</v>
      </c>
      <c r="J30" s="38" t="s">
        <v>48</v>
      </c>
      <c r="K30" s="38" t="s">
        <v>48</v>
      </c>
      <c r="L30" s="38" t="s">
        <v>48</v>
      </c>
      <c r="M30" s="38" t="s">
        <v>48</v>
      </c>
      <c r="N30" s="38" t="s">
        <v>48</v>
      </c>
      <c r="O30" s="38" t="s">
        <v>48</v>
      </c>
      <c r="P30" s="38" t="s">
        <v>48</v>
      </c>
      <c r="Q30" s="38" t="s">
        <v>48</v>
      </c>
      <c r="Y30" t="str">
        <f t="shared" si="4"/>
        <v/>
      </c>
      <c r="Z30" t="str">
        <f t="shared" si="5"/>
        <v/>
      </c>
      <c r="AA30" t="str" cm="1">
        <f t="array" ref="AA30">IF(U30="", "", IFERROR(_xlfn.TEXTJOIN(", ", TRUE, IF((A$1:V$200=U30)*(ROW(A$1:V$200)&lt;&gt;ROW(U30))*(COLUMN(A$1:V$200)&lt;&gt;COLUMN(U30)), ADDRESS(ROW(A$1:V$200), COLUMN(A$1:V$200)), "")), "No Match"))</f>
        <v/>
      </c>
      <c r="AB30" t="str" cm="1">
        <f t="array" ref="AB30">IF(V30="", "", IFERROR(_xlfn.TEXTJOIN(", ", TRUE, IF((A$1:V$200=V30)*(ROW(A$1:V$200)&lt;&gt;ROW(V30))*(COLUMN(A$1:V$200)&lt;&gt;COLUMN(V30)), ADDRESS(ROW(A$1:V$200), COLUMN(A$1:V$200)), "")), "No Match"))</f>
        <v/>
      </c>
      <c r="AC30" t="str">
        <f t="shared" si="0"/>
        <v/>
      </c>
      <c r="AD30" t="str" cm="1">
        <f t="array" ref="AD30">IFERROR(_xlfn.TEXTJOIN(", ", TRUE, IF(INDEX(A:A, MID(AC30, FIND("[", AC30) + 1, FIND(",", AC30) - FIND("[", AC30) - 1) * 1):INDEX(A:A, MID(AC30, FIND(",", AC30) + 1, FIND("]", AC30) - FIND(",", AC30) - 1) * 1) = Y30, ROW(INDEX(A:A, MID(AC30, FIND("[", AC30) + 1, FIND(",", AC30) - FIND("[", AC30) - 1) * 1):INDEX(A:A, MID(AC30, FIND(",", AC30) + 1, FIND("]", AC30) - FIND(",", AC30) - 1) * 1)), "")), "")</f>
        <v/>
      </c>
      <c r="AE30" s="25" t="str">
        <f t="shared" si="1"/>
        <v/>
      </c>
      <c r="AF30" t="str">
        <f t="shared" si="2"/>
        <v/>
      </c>
      <c r="AG30" t="str" cm="1">
        <f t="array" ref="AG30">IFERROR(_xlfn.TEXTJOIN(", ", TRUE, IF(INDEX(A:A, MID(AF30, FIND("[", AF30) + 1, FIND(",", AF30) - FIND("[", AF30) - 1) * 1):INDEX(A:A, MID(AF30, FIND(",", AF30) + 1, FIND("]", AF30) - FIND(",", AF30) - 1) * 1) = Y30, ROW(INDEX(A:A, MID(AF30, FIND("[", AF30) + 1, FIND(",", AF30) - FIND("[", AF30) - 1) * 1):INDEX(A:A, MID(AF30, FIND(",", AF30) + 1, FIND("]", AF30) - FIND(",", AF30) - 1) * 1)), "")), "")</f>
        <v/>
      </c>
      <c r="AH30" s="24" t="str">
        <f t="shared" si="3"/>
        <v/>
      </c>
    </row>
    <row r="31" spans="1:34" x14ac:dyDescent="0.3">
      <c r="A31" s="21" t="s">
        <v>5</v>
      </c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Y31" t="str">
        <f t="shared" si="4"/>
        <v/>
      </c>
      <c r="Z31" t="str">
        <f t="shared" si="5"/>
        <v/>
      </c>
      <c r="AA31" t="str" cm="1">
        <f t="array" ref="AA31">IF(U31="", "", IFERROR(_xlfn.TEXTJOIN(", ", TRUE, IF((A$1:V$200=U31)*(ROW(A$1:V$200)&lt;&gt;ROW(U31))*(COLUMN(A$1:V$200)&lt;&gt;COLUMN(U31)), ADDRESS(ROW(A$1:V$200), COLUMN(A$1:V$200)), "")), "No Match"))</f>
        <v/>
      </c>
      <c r="AB31" t="str" cm="1">
        <f t="array" ref="AB31">IF(V31="", "", IFERROR(_xlfn.TEXTJOIN(", ", TRUE, IF((A$1:V$200=V31)*(ROW(A$1:V$200)&lt;&gt;ROW(V31))*(COLUMN(A$1:V$200)&lt;&gt;COLUMN(V31)), ADDRESS(ROW(A$1:V$200), COLUMN(A$1:V$200)), "")), "No Match"))</f>
        <v/>
      </c>
      <c r="AC31" t="str">
        <f t="shared" si="0"/>
        <v/>
      </c>
      <c r="AD31" t="str" cm="1">
        <f t="array" ref="AD31">IFERROR(_xlfn.TEXTJOIN(", ", TRUE, IF(INDEX(A:A, MID(AC31, FIND("[", AC31) + 1, FIND(",", AC31) - FIND("[", AC31) - 1) * 1):INDEX(A:A, MID(AC31, FIND(",", AC31) + 1, FIND("]", AC31) - FIND(",", AC31) - 1) * 1) = Y31, ROW(INDEX(A:A, MID(AC31, FIND("[", AC31) + 1, FIND(",", AC31) - FIND("[", AC31) - 1) * 1):INDEX(A:A, MID(AC31, FIND(",", AC31) + 1, FIND("]", AC31) - FIND(",", AC31) - 1) * 1)), "")), "")</f>
        <v/>
      </c>
      <c r="AE31" s="25" t="str">
        <f t="shared" si="1"/>
        <v/>
      </c>
      <c r="AF31" t="str">
        <f t="shared" si="2"/>
        <v/>
      </c>
      <c r="AG31" t="str" cm="1">
        <f t="array" ref="AG31">IFERROR(_xlfn.TEXTJOIN(", ", TRUE, IF(INDEX(A:A, MID(AF31, FIND("[", AF31) + 1, FIND(",", AF31) - FIND("[", AF31) - 1) * 1):INDEX(A:A, MID(AF31, FIND(",", AF31) + 1, FIND("]", AF31) - FIND(",", AF31) - 1) * 1) = Y31, ROW(INDEX(A:A, MID(AF31, FIND("[", AF31) + 1, FIND(",", AF31) - FIND("[", AF31) - 1) * 1):INDEX(A:A, MID(AF31, FIND(",", AF31) + 1, FIND("]", AF31) - FIND(",", AF31) - 1) * 1)), "")), "")</f>
        <v/>
      </c>
      <c r="AH31" s="24" t="str">
        <f t="shared" si="3"/>
        <v/>
      </c>
    </row>
    <row r="32" spans="1:34" ht="15.6" x14ac:dyDescent="0.3">
      <c r="A32" s="33" t="s">
        <v>8</v>
      </c>
      <c r="B32" s="34">
        <v>45748</v>
      </c>
      <c r="C32" s="34">
        <v>45749</v>
      </c>
      <c r="D32" s="34">
        <v>45750</v>
      </c>
      <c r="E32" s="34">
        <v>45751</v>
      </c>
      <c r="F32" s="34">
        <v>45752</v>
      </c>
      <c r="G32" s="34">
        <v>45753</v>
      </c>
      <c r="H32" s="34">
        <v>45754</v>
      </c>
      <c r="I32" s="34">
        <v>45755</v>
      </c>
      <c r="J32" s="34">
        <v>45756</v>
      </c>
      <c r="K32" s="34">
        <v>45757</v>
      </c>
      <c r="L32" s="34">
        <v>45758</v>
      </c>
      <c r="M32" s="34">
        <v>45759</v>
      </c>
      <c r="N32" s="34">
        <v>45760</v>
      </c>
      <c r="O32" s="34">
        <v>45761</v>
      </c>
      <c r="P32" s="34">
        <v>45762</v>
      </c>
      <c r="Y32" t="str">
        <f t="shared" si="4"/>
        <v/>
      </c>
      <c r="Z32" t="str">
        <f t="shared" si="5"/>
        <v/>
      </c>
      <c r="AA32" t="str" cm="1">
        <f t="array" ref="AA32">IF(U32="", "", IFERROR(_xlfn.TEXTJOIN(", ", TRUE, IF((A$1:V$200=U32)*(ROW(A$1:V$200)&lt;&gt;ROW(U32))*(COLUMN(A$1:V$200)&lt;&gt;COLUMN(U32)), ADDRESS(ROW(A$1:V$200), COLUMN(A$1:V$200)), "")), "No Match"))</f>
        <v/>
      </c>
      <c r="AB32" t="str" cm="1">
        <f t="array" ref="AB32">IF(V32="", "", IFERROR(_xlfn.TEXTJOIN(", ", TRUE, IF((A$1:V$200=V32)*(ROW(A$1:V$200)&lt;&gt;ROW(V32))*(COLUMN(A$1:V$200)&lt;&gt;COLUMN(V32)), ADDRESS(ROW(A$1:V$200), COLUMN(A$1:V$200)), "")), "No Match"))</f>
        <v/>
      </c>
      <c r="AC32" t="str">
        <f t="shared" si="0"/>
        <v/>
      </c>
      <c r="AD32" t="str" cm="1">
        <f t="array" ref="AD32">IFERROR(_xlfn.TEXTJOIN(", ", TRUE, IF(INDEX(A:A, MID(AC32, FIND("[", AC32) + 1, FIND(",", AC32) - FIND("[", AC32) - 1) * 1):INDEX(A:A, MID(AC32, FIND(",", AC32) + 1, FIND("]", AC32) - FIND(",", AC32) - 1) * 1) = Y32, ROW(INDEX(A:A, MID(AC32, FIND("[", AC32) + 1, FIND(",", AC32) - FIND("[", AC32) - 1) * 1):INDEX(A:A, MID(AC32, FIND(",", AC32) + 1, FIND("]", AC32) - FIND(",", AC32) - 1) * 1)), "")), "")</f>
        <v/>
      </c>
      <c r="AE32" s="25" t="str">
        <f t="shared" si="1"/>
        <v/>
      </c>
      <c r="AF32" t="str">
        <f t="shared" si="2"/>
        <v/>
      </c>
      <c r="AG32" t="str" cm="1">
        <f t="array" ref="AG32">IFERROR(_xlfn.TEXTJOIN(", ", TRUE, IF(INDEX(A:A, MID(AF32, FIND("[", AF32) + 1, FIND(",", AF32) - FIND("[", AF32) - 1) * 1):INDEX(A:A, MID(AF32, FIND(",", AF32) + 1, FIND("]", AF32) - FIND(",", AF32) - 1) * 1) = Y32, ROW(INDEX(A:A, MID(AF32, FIND("[", AF32) + 1, FIND(",", AF32) - FIND("[", AF32) - 1) * 1):INDEX(A:A, MID(AF32, FIND(",", AF32) + 1, FIND("]", AF32) - FIND(",", AF32) - 1) * 1)), "")), "")</f>
        <v/>
      </c>
      <c r="AH32" s="24" t="str">
        <f t="shared" si="3"/>
        <v/>
      </c>
    </row>
    <row r="33" spans="1:34" x14ac:dyDescent="0.3">
      <c r="A33" s="21" t="s">
        <v>32</v>
      </c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Y33" t="str">
        <f t="shared" si="4"/>
        <v/>
      </c>
      <c r="Z33" t="str">
        <f t="shared" si="5"/>
        <v/>
      </c>
      <c r="AA33" t="str" cm="1">
        <f t="array" ref="AA33">IF(U33="", "", IFERROR(_xlfn.TEXTJOIN(", ", TRUE, IF((A$1:V$200=U33)*(ROW(A$1:V$200)&lt;&gt;ROW(U33))*(COLUMN(A$1:V$200)&lt;&gt;COLUMN(U33)), ADDRESS(ROW(A$1:V$200), COLUMN(A$1:V$200)), "")), "No Match"))</f>
        <v/>
      </c>
      <c r="AB33" t="str" cm="1">
        <f t="array" ref="AB33">IF(V33="", "", IFERROR(_xlfn.TEXTJOIN(", ", TRUE, IF((A$1:V$200=V33)*(ROW(A$1:V$200)&lt;&gt;ROW(V33))*(COLUMN(A$1:V$200)&lt;&gt;COLUMN(V33)), ADDRESS(ROW(A$1:V$200), COLUMN(A$1:V$200)), "")), "No Match"))</f>
        <v/>
      </c>
      <c r="AC33" t="str">
        <f t="shared" si="0"/>
        <v/>
      </c>
      <c r="AD33" t="str" cm="1">
        <f t="array" ref="AD33">IFERROR(_xlfn.TEXTJOIN(", ", TRUE, IF(INDEX(A:A, MID(AC33, FIND("[", AC33) + 1, FIND(",", AC33) - FIND("[", AC33) - 1) * 1):INDEX(A:A, MID(AC33, FIND(",", AC33) + 1, FIND("]", AC33) - FIND(",", AC33) - 1) * 1) = Y33, ROW(INDEX(A:A, MID(AC33, FIND("[", AC33) + 1, FIND(",", AC33) - FIND("[", AC33) - 1) * 1):INDEX(A:A, MID(AC33, FIND(",", AC33) + 1, FIND("]", AC33) - FIND(",", AC33) - 1) * 1)), "")), "")</f>
        <v/>
      </c>
      <c r="AE33" s="25" t="str">
        <f t="shared" si="1"/>
        <v/>
      </c>
      <c r="AF33" t="str">
        <f t="shared" si="2"/>
        <v/>
      </c>
      <c r="AG33" t="str" cm="1">
        <f t="array" ref="AG33">IFERROR(_xlfn.TEXTJOIN(", ", TRUE, IF(INDEX(A:A, MID(AF33, FIND("[", AF33) + 1, FIND(",", AF33) - FIND("[", AF33) - 1) * 1):INDEX(A:A, MID(AF33, FIND(",", AF33) + 1, FIND("]", AF33) - FIND(",", AF33) - 1) * 1) = Y33, ROW(INDEX(A:A, MID(AF33, FIND("[", AF33) + 1, FIND(",", AF33) - FIND("[", AF33) - 1) * 1):INDEX(A:A, MID(AF33, FIND(",", AF33) + 1, FIND("]", AF33) - FIND(",", AF33) - 1) * 1)), "")), "")</f>
        <v/>
      </c>
      <c r="AH33" s="24" t="str">
        <f t="shared" si="3"/>
        <v/>
      </c>
    </row>
    <row r="34" spans="1:34" x14ac:dyDescent="0.3">
      <c r="A34" s="21" t="s">
        <v>3</v>
      </c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Y34" t="str">
        <f t="shared" si="4"/>
        <v/>
      </c>
      <c r="Z34" t="str">
        <f t="shared" si="5"/>
        <v/>
      </c>
      <c r="AA34" t="str" cm="1">
        <f t="array" ref="AA34">IF(U34="", "", IFERROR(_xlfn.TEXTJOIN(", ", TRUE, IF((A$1:V$200=U34)*(ROW(A$1:V$200)&lt;&gt;ROW(U34))*(COLUMN(A$1:V$200)&lt;&gt;COLUMN(U34)), ADDRESS(ROW(A$1:V$200), COLUMN(A$1:V$200)), "")), "No Match"))</f>
        <v/>
      </c>
      <c r="AB34" t="str" cm="1">
        <f t="array" ref="AB34">IF(V34="", "", IFERROR(_xlfn.TEXTJOIN(", ", TRUE, IF((A$1:V$200=V34)*(ROW(A$1:V$200)&lt;&gt;ROW(V34))*(COLUMN(A$1:V$200)&lt;&gt;COLUMN(V34)), ADDRESS(ROW(A$1:V$200), COLUMN(A$1:V$200)), "")), "No Match"))</f>
        <v/>
      </c>
      <c r="AC34" t="str">
        <f t="shared" ref="AC34:AC50" si="6">IF(AA34 = "", "", "A[" &amp; MID(AA34, FIND("$", AA34, FIND("$", AA34)+1) + 1, LEN(AA34)) + 1 &amp; ", " &amp; MID(AA34, FIND("$", AA34, FIND("$", AA34)+1) + 1, LEN(AA34)) + 4 &amp; "]")</f>
        <v/>
      </c>
      <c r="AD34" t="str" cm="1">
        <f t="array" ref="AD34">IFERROR(_xlfn.TEXTJOIN(", ", TRUE, IF(INDEX(A:A, MID(AC34, FIND("[", AC34) + 1, FIND(",", AC34) - FIND("[", AC34) - 1) * 1):INDEX(A:A, MID(AC34, FIND(",", AC34) + 1, FIND("]", AC34) - FIND(",", AC34) - 1) * 1) = Y34, ROW(INDEX(A:A, MID(AC34, FIND("[", AC34) + 1, FIND(",", AC34) - FIND("[", AC34) - 1) * 1):INDEX(A:A, MID(AC34, FIND(",", AC34) + 1, FIND("]", AC34) - FIND(",", AC34) - 1) * 1)), "")), "")</f>
        <v/>
      </c>
      <c r="AE34" s="25" t="str">
        <f t="shared" ref="AE34:AE50" si="7">IF(OR(ISBLANK(AA34), ISBLANK(AD34), ISERROR(FIND("$", AA34))), "", MID(AA34, FIND("$", AA34) + 1, FIND("$", AA34, FIND("$", AA34) + 1) - FIND("$", AA34) - 1) &amp; AD34)</f>
        <v/>
      </c>
      <c r="AF34" t="str">
        <f t="shared" ref="AF34:AF50" si="8">IF(AB34 = "", "", "A[" &amp; MID(AB34, FIND("$", AB34, FIND("$", AB34) + 1) + 1, LEN(AB34)) + 1 &amp; ", " &amp; MID(AB34, FIND("$", AB34, FIND("$", AB34) + 1) + 1, LEN(AB34)) + 4 &amp; "]")</f>
        <v/>
      </c>
      <c r="AG34" t="str" cm="1">
        <f t="array" ref="AG34">IFERROR(_xlfn.TEXTJOIN(", ", TRUE, IF(INDEX(A:A, MID(AF34, FIND("[", AF34) + 1, FIND(",", AF34) - FIND("[", AF34) - 1) * 1):INDEX(A:A, MID(AF34, FIND(",", AF34) + 1, FIND("]", AF34) - FIND(",", AF34) - 1) * 1) = Y34, ROW(INDEX(A:A, MID(AF34, FIND("[", AF34) + 1, FIND(",", AF34) - FIND("[", AF34) - 1) * 1):INDEX(A:A, MID(AF34, FIND(",", AF34) + 1, FIND("]", AF34) - FIND(",", AF34) - 1) * 1)), "")), "")</f>
        <v/>
      </c>
      <c r="AH34" s="24" t="str">
        <f t="shared" ref="AH34:AH50" si="9">IF(OR(ISBLANK(AB34), ISBLANK(AG34), ISERROR(FIND("$", AB34))), "", MID(AB34, FIND("$", AB34) + 1, FIND("$", AB34, FIND("$", AB34) + 1) - FIND("$", AB34) - 1) &amp; AG34)</f>
        <v/>
      </c>
    </row>
    <row r="35" spans="1:34" x14ac:dyDescent="0.3">
      <c r="A35" s="21" t="s">
        <v>4</v>
      </c>
      <c r="B35" s="38" t="s">
        <v>48</v>
      </c>
      <c r="C35" s="38" t="s">
        <v>48</v>
      </c>
      <c r="D35" s="38" t="s">
        <v>48</v>
      </c>
      <c r="E35" s="38" t="s">
        <v>48</v>
      </c>
      <c r="F35" s="38" t="s">
        <v>48</v>
      </c>
      <c r="G35" s="38" t="s">
        <v>48</v>
      </c>
      <c r="H35" s="38" t="s">
        <v>48</v>
      </c>
      <c r="I35" s="30"/>
      <c r="J35" s="30"/>
      <c r="K35" s="30"/>
      <c r="L35" s="30"/>
      <c r="M35" s="30"/>
      <c r="N35" s="30"/>
      <c r="O35" s="30"/>
      <c r="P35" s="30"/>
      <c r="Y35" t="str">
        <f t="shared" si="4"/>
        <v/>
      </c>
      <c r="Z35" t="str">
        <f t="shared" si="5"/>
        <v/>
      </c>
      <c r="AA35" t="str" cm="1">
        <f t="array" ref="AA35">IF(U35="", "", IFERROR(_xlfn.TEXTJOIN(", ", TRUE, IF((A$1:V$200=U35)*(ROW(A$1:V$200)&lt;&gt;ROW(U35))*(COLUMN(A$1:V$200)&lt;&gt;COLUMN(U35)), ADDRESS(ROW(A$1:V$200), COLUMN(A$1:V$200)), "")), "No Match"))</f>
        <v/>
      </c>
      <c r="AB35" t="str" cm="1">
        <f t="array" ref="AB35">IF(V35="", "", IFERROR(_xlfn.TEXTJOIN(", ", TRUE, IF((A$1:V$200=V35)*(ROW(A$1:V$200)&lt;&gt;ROW(V35))*(COLUMN(A$1:V$200)&lt;&gt;COLUMN(V35)), ADDRESS(ROW(A$1:V$200), COLUMN(A$1:V$200)), "")), "No Match"))</f>
        <v/>
      </c>
      <c r="AC35" t="str">
        <f t="shared" si="6"/>
        <v/>
      </c>
      <c r="AD35" t="str" cm="1">
        <f t="array" ref="AD35">IFERROR(_xlfn.TEXTJOIN(", ", TRUE, IF(INDEX(A:A, MID(AC35, FIND("[", AC35) + 1, FIND(",", AC35) - FIND("[", AC35) - 1) * 1):INDEX(A:A, MID(AC35, FIND(",", AC35) + 1, FIND("]", AC35) - FIND(",", AC35) - 1) * 1) = Y35, ROW(INDEX(A:A, MID(AC35, FIND("[", AC35) + 1, FIND(",", AC35) - FIND("[", AC35) - 1) * 1):INDEX(A:A, MID(AC35, FIND(",", AC35) + 1, FIND("]", AC35) - FIND(",", AC35) - 1) * 1)), "")), "")</f>
        <v/>
      </c>
      <c r="AE35" s="25" t="str">
        <f t="shared" si="7"/>
        <v/>
      </c>
      <c r="AF35" t="str">
        <f t="shared" si="8"/>
        <v/>
      </c>
      <c r="AG35" t="str" cm="1">
        <f t="array" ref="AG35">IFERROR(_xlfn.TEXTJOIN(", ", TRUE, IF(INDEX(A:A, MID(AF35, FIND("[", AF35) + 1, FIND(",", AF35) - FIND("[", AF35) - 1) * 1):INDEX(A:A, MID(AF35, FIND(",", AF35) + 1, FIND("]", AF35) - FIND(",", AF35) - 1) * 1) = Y35, ROW(INDEX(A:A, MID(AF35, FIND("[", AF35) + 1, FIND(",", AF35) - FIND("[", AF35) - 1) * 1):INDEX(A:A, MID(AF35, FIND(",", AF35) + 1, FIND("]", AF35) - FIND(",", AF35) - 1) * 1)), "")), "")</f>
        <v/>
      </c>
      <c r="AH35" s="24" t="str">
        <f t="shared" si="9"/>
        <v/>
      </c>
    </row>
    <row r="36" spans="1:34" x14ac:dyDescent="0.3">
      <c r="A36" s="21" t="s">
        <v>5</v>
      </c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Y36" t="str">
        <f t="shared" si="4"/>
        <v/>
      </c>
      <c r="Z36" t="str">
        <f t="shared" si="5"/>
        <v/>
      </c>
      <c r="AA36" t="str" cm="1">
        <f t="array" ref="AA36">IF(U36="", "", IFERROR(_xlfn.TEXTJOIN(", ", TRUE, IF((A$1:V$200=U36)*(ROW(A$1:V$200)&lt;&gt;ROW(U36))*(COLUMN(A$1:V$200)&lt;&gt;COLUMN(U36)), ADDRESS(ROW(A$1:V$200), COLUMN(A$1:V$200)), "")), "No Match"))</f>
        <v/>
      </c>
      <c r="AB36" t="str" cm="1">
        <f t="array" ref="AB36">IF(V36="", "", IFERROR(_xlfn.TEXTJOIN(", ", TRUE, IF((A$1:V$200=V36)*(ROW(A$1:V$200)&lt;&gt;ROW(V36))*(COLUMN(A$1:V$200)&lt;&gt;COLUMN(V36)), ADDRESS(ROW(A$1:V$200), COLUMN(A$1:V$200)), "")), "No Match"))</f>
        <v/>
      </c>
      <c r="AC36" t="str">
        <f t="shared" si="6"/>
        <v/>
      </c>
      <c r="AD36" t="str" cm="1">
        <f t="array" ref="AD36">IFERROR(_xlfn.TEXTJOIN(", ", TRUE, IF(INDEX(A:A, MID(AC36, FIND("[", AC36) + 1, FIND(",", AC36) - FIND("[", AC36) - 1) * 1):INDEX(A:A, MID(AC36, FIND(",", AC36) + 1, FIND("]", AC36) - FIND(",", AC36) - 1) * 1) = Y36, ROW(INDEX(A:A, MID(AC36, FIND("[", AC36) + 1, FIND(",", AC36) - FIND("[", AC36) - 1) * 1):INDEX(A:A, MID(AC36, FIND(",", AC36) + 1, FIND("]", AC36) - FIND(",", AC36) - 1) * 1)), "")), "")</f>
        <v/>
      </c>
      <c r="AE36" s="25" t="str">
        <f t="shared" si="7"/>
        <v/>
      </c>
      <c r="AF36" t="str">
        <f t="shared" si="8"/>
        <v/>
      </c>
      <c r="AG36" t="str" cm="1">
        <f t="array" ref="AG36">IFERROR(_xlfn.TEXTJOIN(", ", TRUE, IF(INDEX(A:A, MID(AF36, FIND("[", AF36) + 1, FIND(",", AF36) - FIND("[", AF36) - 1) * 1):INDEX(A:A, MID(AF36, FIND(",", AF36) + 1, FIND("]", AF36) - FIND(",", AF36) - 1) * 1) = Y36, ROW(INDEX(A:A, MID(AF36, FIND("[", AF36) + 1, FIND(",", AF36) - FIND("[", AF36) - 1) * 1):INDEX(A:A, MID(AF36, FIND(",", AF36) + 1, FIND("]", AF36) - FIND(",", AF36) - 1) * 1)), "")), "")</f>
        <v/>
      </c>
      <c r="AH36" s="24" t="str">
        <f t="shared" si="9"/>
        <v/>
      </c>
    </row>
    <row r="37" spans="1:34" ht="15.6" x14ac:dyDescent="0.3">
      <c r="A37" s="33" t="s">
        <v>8</v>
      </c>
      <c r="B37" s="34">
        <v>45763</v>
      </c>
      <c r="C37" s="34">
        <v>45764</v>
      </c>
      <c r="D37" s="34">
        <v>45765</v>
      </c>
      <c r="E37" s="34">
        <v>45766</v>
      </c>
      <c r="F37" s="34">
        <v>45767</v>
      </c>
      <c r="G37" s="34">
        <v>45768</v>
      </c>
      <c r="H37" s="34">
        <v>45769</v>
      </c>
      <c r="I37" s="34">
        <v>45770</v>
      </c>
      <c r="J37" s="34">
        <v>45771</v>
      </c>
      <c r="K37" s="34">
        <v>45772</v>
      </c>
      <c r="L37" s="34">
        <v>45773</v>
      </c>
      <c r="M37" s="34">
        <v>45774</v>
      </c>
      <c r="N37" s="34">
        <v>45775</v>
      </c>
      <c r="O37" s="34">
        <v>45776</v>
      </c>
      <c r="P37" s="34">
        <v>45777</v>
      </c>
      <c r="Y37" t="str">
        <f t="shared" si="4"/>
        <v/>
      </c>
      <c r="Z37" t="str">
        <f t="shared" si="5"/>
        <v/>
      </c>
      <c r="AA37" t="str" cm="1">
        <f t="array" ref="AA37">IF(U37="", "", IFERROR(_xlfn.TEXTJOIN(", ", TRUE, IF((A$1:V$200=U37)*(ROW(A$1:V$200)&lt;&gt;ROW(U37))*(COLUMN(A$1:V$200)&lt;&gt;COLUMN(U37)), ADDRESS(ROW(A$1:V$200), COLUMN(A$1:V$200)), "")), "No Match"))</f>
        <v/>
      </c>
      <c r="AB37" t="str" cm="1">
        <f t="array" ref="AB37">IF(V37="", "", IFERROR(_xlfn.TEXTJOIN(", ", TRUE, IF((A$1:V$200=V37)*(ROW(A$1:V$200)&lt;&gt;ROW(V37))*(COLUMN(A$1:V$200)&lt;&gt;COLUMN(V37)), ADDRESS(ROW(A$1:V$200), COLUMN(A$1:V$200)), "")), "No Match"))</f>
        <v/>
      </c>
      <c r="AC37" t="str">
        <f t="shared" si="6"/>
        <v/>
      </c>
      <c r="AD37" t="str" cm="1">
        <f t="array" ref="AD37">IFERROR(_xlfn.TEXTJOIN(", ", TRUE, IF(INDEX(A:A, MID(AC37, FIND("[", AC37) + 1, FIND(",", AC37) - FIND("[", AC37) - 1) * 1):INDEX(A:A, MID(AC37, FIND(",", AC37) + 1, FIND("]", AC37) - FIND(",", AC37) - 1) * 1) = Y37, ROW(INDEX(A:A, MID(AC37, FIND("[", AC37) + 1, FIND(",", AC37) - FIND("[", AC37) - 1) * 1):INDEX(A:A, MID(AC37, FIND(",", AC37) + 1, FIND("]", AC37) - FIND(",", AC37) - 1) * 1)), "")), "")</f>
        <v/>
      </c>
      <c r="AE37" s="25" t="str">
        <f t="shared" si="7"/>
        <v/>
      </c>
      <c r="AF37" t="str">
        <f t="shared" si="8"/>
        <v/>
      </c>
      <c r="AG37" t="str" cm="1">
        <f t="array" ref="AG37">IFERROR(_xlfn.TEXTJOIN(", ", TRUE, IF(INDEX(A:A, MID(AF37, FIND("[", AF37) + 1, FIND(",", AF37) - FIND("[", AF37) - 1) * 1):INDEX(A:A, MID(AF37, FIND(",", AF37) + 1, FIND("]", AF37) - FIND(",", AF37) - 1) * 1) = Y37, ROW(INDEX(A:A, MID(AF37, FIND("[", AF37) + 1, FIND(",", AF37) - FIND("[", AF37) - 1) * 1):INDEX(A:A, MID(AF37, FIND(",", AF37) + 1, FIND("]", AF37) - FIND(",", AF37) - 1) * 1)), "")), "")</f>
        <v/>
      </c>
      <c r="AH37" s="24" t="str">
        <f t="shared" si="9"/>
        <v/>
      </c>
    </row>
    <row r="38" spans="1:34" x14ac:dyDescent="0.3">
      <c r="A38" s="21" t="s">
        <v>32</v>
      </c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Y38" t="str">
        <f t="shared" si="4"/>
        <v/>
      </c>
      <c r="Z38" t="str">
        <f t="shared" si="5"/>
        <v/>
      </c>
      <c r="AA38" t="str" cm="1">
        <f t="array" ref="AA38">IF(U38="", "", IFERROR(_xlfn.TEXTJOIN(", ", TRUE, IF((A$1:V$200=U38)*(ROW(A$1:V$200)&lt;&gt;ROW(U38))*(COLUMN(A$1:V$200)&lt;&gt;COLUMN(U38)), ADDRESS(ROW(A$1:V$200), COLUMN(A$1:V$200)), "")), "No Match"))</f>
        <v/>
      </c>
      <c r="AB38" t="str" cm="1">
        <f t="array" ref="AB38">IF(V38="", "", IFERROR(_xlfn.TEXTJOIN(", ", TRUE, IF((A$1:V$200=V38)*(ROW(A$1:V$200)&lt;&gt;ROW(V38))*(COLUMN(A$1:V$200)&lt;&gt;COLUMN(V38)), ADDRESS(ROW(A$1:V$200), COLUMN(A$1:V$200)), "")), "No Match"))</f>
        <v/>
      </c>
      <c r="AC38" t="str">
        <f t="shared" si="6"/>
        <v/>
      </c>
      <c r="AD38" t="str" cm="1">
        <f t="array" ref="AD38">IFERROR(_xlfn.TEXTJOIN(", ", TRUE, IF(INDEX(A:A, MID(AC38, FIND("[", AC38) + 1, FIND(",", AC38) - FIND("[", AC38) - 1) * 1):INDEX(A:A, MID(AC38, FIND(",", AC38) + 1, FIND("]", AC38) - FIND(",", AC38) - 1) * 1) = Y38, ROW(INDEX(A:A, MID(AC38, FIND("[", AC38) + 1, FIND(",", AC38) - FIND("[", AC38) - 1) * 1):INDEX(A:A, MID(AC38, FIND(",", AC38) + 1, FIND("]", AC38) - FIND(",", AC38) - 1) * 1)), "")), "")</f>
        <v/>
      </c>
      <c r="AE38" s="25" t="str">
        <f t="shared" si="7"/>
        <v/>
      </c>
      <c r="AF38" t="str">
        <f t="shared" si="8"/>
        <v/>
      </c>
      <c r="AG38" t="str" cm="1">
        <f t="array" ref="AG38">IFERROR(_xlfn.TEXTJOIN(", ", TRUE, IF(INDEX(A:A, MID(AF38, FIND("[", AF38) + 1, FIND(",", AF38) - FIND("[", AF38) - 1) * 1):INDEX(A:A, MID(AF38, FIND(",", AF38) + 1, FIND("]", AF38) - FIND(",", AF38) - 1) * 1) = Y38, ROW(INDEX(A:A, MID(AF38, FIND("[", AF38) + 1, FIND(",", AF38) - FIND("[", AF38) - 1) * 1):INDEX(A:A, MID(AF38, FIND(",", AF38) + 1, FIND("]", AF38) - FIND(",", AF38) - 1) * 1)), "")), "")</f>
        <v/>
      </c>
      <c r="AH38" s="24" t="str">
        <f t="shared" si="9"/>
        <v/>
      </c>
    </row>
    <row r="39" spans="1:34" x14ac:dyDescent="0.3">
      <c r="A39" s="21" t="s">
        <v>3</v>
      </c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Y39" t="str">
        <f t="shared" si="4"/>
        <v/>
      </c>
      <c r="Z39" t="str">
        <f t="shared" si="5"/>
        <v/>
      </c>
      <c r="AA39" t="str" cm="1">
        <f t="array" ref="AA39">IF(U39="", "", IFERROR(_xlfn.TEXTJOIN(", ", TRUE, IF((A$1:V$200=U39)*(ROW(A$1:V$200)&lt;&gt;ROW(U39))*(COLUMN(A$1:V$200)&lt;&gt;COLUMN(U39)), ADDRESS(ROW(A$1:V$200), COLUMN(A$1:V$200)), "")), "No Match"))</f>
        <v/>
      </c>
      <c r="AB39" t="str" cm="1">
        <f t="array" ref="AB39">IF(V39="", "", IFERROR(_xlfn.TEXTJOIN(", ", TRUE, IF((A$1:V$200=V39)*(ROW(A$1:V$200)&lt;&gt;ROW(V39))*(COLUMN(A$1:V$200)&lt;&gt;COLUMN(V39)), ADDRESS(ROW(A$1:V$200), COLUMN(A$1:V$200)), "")), "No Match"))</f>
        <v/>
      </c>
      <c r="AC39" t="str">
        <f t="shared" si="6"/>
        <v/>
      </c>
      <c r="AD39" t="str" cm="1">
        <f t="array" ref="AD39">IFERROR(_xlfn.TEXTJOIN(", ", TRUE, IF(INDEX(A:A, MID(AC39, FIND("[", AC39) + 1, FIND(",", AC39) - FIND("[", AC39) - 1) * 1):INDEX(A:A, MID(AC39, FIND(",", AC39) + 1, FIND("]", AC39) - FIND(",", AC39) - 1) * 1) = Y39, ROW(INDEX(A:A, MID(AC39, FIND("[", AC39) + 1, FIND(",", AC39) - FIND("[", AC39) - 1) * 1):INDEX(A:A, MID(AC39, FIND(",", AC39) + 1, FIND("]", AC39) - FIND(",", AC39) - 1) * 1)), "")), "")</f>
        <v/>
      </c>
      <c r="AE39" s="25" t="str">
        <f t="shared" si="7"/>
        <v/>
      </c>
      <c r="AF39" t="str">
        <f t="shared" si="8"/>
        <v/>
      </c>
      <c r="AG39" t="str" cm="1">
        <f t="array" ref="AG39">IFERROR(_xlfn.TEXTJOIN(", ", TRUE, IF(INDEX(A:A, MID(AF39, FIND("[", AF39) + 1, FIND(",", AF39) - FIND("[", AF39) - 1) * 1):INDEX(A:A, MID(AF39, FIND(",", AF39) + 1, FIND("]", AF39) - FIND(",", AF39) - 1) * 1) = Y39, ROW(INDEX(A:A, MID(AF39, FIND("[", AF39) + 1, FIND(",", AF39) - FIND("[", AF39) - 1) * 1):INDEX(A:A, MID(AF39, FIND(",", AF39) + 1, FIND("]", AF39) - FIND(",", AF39) - 1) * 1)), "")), "")</f>
        <v/>
      </c>
      <c r="AH39" s="24" t="str">
        <f t="shared" si="9"/>
        <v/>
      </c>
    </row>
    <row r="40" spans="1:34" x14ac:dyDescent="0.3">
      <c r="A40" s="21" t="s">
        <v>4</v>
      </c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Y40" t="str">
        <f t="shared" si="4"/>
        <v/>
      </c>
      <c r="Z40" t="str">
        <f t="shared" si="5"/>
        <v/>
      </c>
      <c r="AA40" t="str" cm="1">
        <f t="array" ref="AA40">IF(U40="", "", IFERROR(_xlfn.TEXTJOIN(", ", TRUE, IF((A$1:V$200=U40)*(ROW(A$1:V$200)&lt;&gt;ROW(U40))*(COLUMN(A$1:V$200)&lt;&gt;COLUMN(U40)), ADDRESS(ROW(A$1:V$200), COLUMN(A$1:V$200)), "")), "No Match"))</f>
        <v/>
      </c>
      <c r="AB40" t="str" cm="1">
        <f t="array" ref="AB40">IF(V40="", "", IFERROR(_xlfn.TEXTJOIN(", ", TRUE, IF((A$1:V$200=V40)*(ROW(A$1:V$200)&lt;&gt;ROW(V40))*(COLUMN(A$1:V$200)&lt;&gt;COLUMN(V40)), ADDRESS(ROW(A$1:V$200), COLUMN(A$1:V$200)), "")), "No Match"))</f>
        <v/>
      </c>
      <c r="AC40" t="str">
        <f t="shared" si="6"/>
        <v/>
      </c>
      <c r="AD40" t="str" cm="1">
        <f t="array" ref="AD40">IFERROR(_xlfn.TEXTJOIN(", ", TRUE, IF(INDEX(A:A, MID(AC40, FIND("[", AC40) + 1, FIND(",", AC40) - FIND("[", AC40) - 1) * 1):INDEX(A:A, MID(AC40, FIND(",", AC40) + 1, FIND("]", AC40) - FIND(",", AC40) - 1) * 1) = Y40, ROW(INDEX(A:A, MID(AC40, FIND("[", AC40) + 1, FIND(",", AC40) - FIND("[", AC40) - 1) * 1):INDEX(A:A, MID(AC40, FIND(",", AC40) + 1, FIND("]", AC40) - FIND(",", AC40) - 1) * 1)), "")), "")</f>
        <v/>
      </c>
      <c r="AE40" s="25" t="str">
        <f t="shared" si="7"/>
        <v/>
      </c>
      <c r="AF40" t="str">
        <f t="shared" si="8"/>
        <v/>
      </c>
      <c r="AG40" t="str" cm="1">
        <f t="array" ref="AG40">IFERROR(_xlfn.TEXTJOIN(", ", TRUE, IF(INDEX(A:A, MID(AF40, FIND("[", AF40) + 1, FIND(",", AF40) - FIND("[", AF40) - 1) * 1):INDEX(A:A, MID(AF40, FIND(",", AF40) + 1, FIND("]", AF40) - FIND(",", AF40) - 1) * 1) = Y40, ROW(INDEX(A:A, MID(AF40, FIND("[", AF40) + 1, FIND(",", AF40) - FIND("[", AF40) - 1) * 1):INDEX(A:A, MID(AF40, FIND(",", AF40) + 1, FIND("]", AF40) - FIND(",", AF40) - 1) * 1)), "")), "")</f>
        <v/>
      </c>
      <c r="AH40" s="24" t="str">
        <f t="shared" si="9"/>
        <v/>
      </c>
    </row>
    <row r="41" spans="1:34" x14ac:dyDescent="0.3">
      <c r="A41" s="21" t="s">
        <v>5</v>
      </c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Y41" t="str">
        <f t="shared" si="4"/>
        <v/>
      </c>
      <c r="Z41" t="str">
        <f t="shared" si="5"/>
        <v/>
      </c>
      <c r="AA41" t="str" cm="1">
        <f t="array" ref="AA41">IF(U41="", "", IFERROR(_xlfn.TEXTJOIN(", ", TRUE, IF((A$1:V$200=U41)*(ROW(A$1:V$200)&lt;&gt;ROW(U41))*(COLUMN(A$1:V$200)&lt;&gt;COLUMN(U41)), ADDRESS(ROW(A$1:V$200), COLUMN(A$1:V$200)), "")), "No Match"))</f>
        <v/>
      </c>
      <c r="AB41" t="str" cm="1">
        <f t="array" ref="AB41">IF(V41="", "", IFERROR(_xlfn.TEXTJOIN(", ", TRUE, IF((A$1:V$200=V41)*(ROW(A$1:V$200)&lt;&gt;ROW(V41))*(COLUMN(A$1:V$200)&lt;&gt;COLUMN(V41)), ADDRESS(ROW(A$1:V$200), COLUMN(A$1:V$200)), "")), "No Match"))</f>
        <v/>
      </c>
      <c r="AC41" t="str">
        <f t="shared" si="6"/>
        <v/>
      </c>
      <c r="AD41" t="str" cm="1">
        <f t="array" ref="AD41">IFERROR(_xlfn.TEXTJOIN(", ", TRUE, IF(INDEX(A:A, MID(AC41, FIND("[", AC41) + 1, FIND(",", AC41) - FIND("[", AC41) - 1) * 1):INDEX(A:A, MID(AC41, FIND(",", AC41) + 1, FIND("]", AC41) - FIND(",", AC41) - 1) * 1) = Y41, ROW(INDEX(A:A, MID(AC41, FIND("[", AC41) + 1, FIND(",", AC41) - FIND("[", AC41) - 1) * 1):INDEX(A:A, MID(AC41, FIND(",", AC41) + 1, FIND("]", AC41) - FIND(",", AC41) - 1) * 1)), "")), "")</f>
        <v/>
      </c>
      <c r="AE41" s="25" t="str">
        <f t="shared" si="7"/>
        <v/>
      </c>
      <c r="AF41" t="str">
        <f t="shared" si="8"/>
        <v/>
      </c>
      <c r="AG41" t="str" cm="1">
        <f t="array" ref="AG41">IFERROR(_xlfn.TEXTJOIN(", ", TRUE, IF(INDEX(A:A, MID(AF41, FIND("[", AF41) + 1, FIND(",", AF41) - FIND("[", AF41) - 1) * 1):INDEX(A:A, MID(AF41, FIND(",", AF41) + 1, FIND("]", AF41) - FIND(",", AF41) - 1) * 1) = Y41, ROW(INDEX(A:A, MID(AF41, FIND("[", AF41) + 1, FIND(",", AF41) - FIND("[", AF41) - 1) * 1):INDEX(A:A, MID(AF41, FIND(",", AF41) + 1, FIND("]", AF41) - FIND(",", AF41) - 1) * 1)), "")), "")</f>
        <v/>
      </c>
      <c r="AH41" s="24" t="str">
        <f t="shared" si="9"/>
        <v/>
      </c>
    </row>
    <row r="42" spans="1:34" ht="15.6" x14ac:dyDescent="0.3">
      <c r="A42" s="33" t="s">
        <v>9</v>
      </c>
      <c r="B42" s="34">
        <v>45778</v>
      </c>
      <c r="C42" s="34">
        <v>45779</v>
      </c>
      <c r="D42" s="34">
        <v>45780</v>
      </c>
      <c r="E42" s="34">
        <v>45781</v>
      </c>
      <c r="F42" s="34">
        <v>45782</v>
      </c>
      <c r="G42" s="34">
        <v>45783</v>
      </c>
      <c r="H42" s="34">
        <v>45784</v>
      </c>
      <c r="I42" s="34">
        <v>45785</v>
      </c>
      <c r="J42" s="34">
        <v>45786</v>
      </c>
      <c r="K42" s="34">
        <v>45787</v>
      </c>
      <c r="L42" s="34">
        <v>45788</v>
      </c>
      <c r="M42" s="34">
        <v>45789</v>
      </c>
      <c r="N42" s="34">
        <v>45790</v>
      </c>
      <c r="O42" s="34">
        <v>45791</v>
      </c>
      <c r="P42" s="34">
        <v>45792</v>
      </c>
      <c r="Q42" s="22"/>
      <c r="Y42" t="str">
        <f t="shared" si="4"/>
        <v/>
      </c>
      <c r="Z42" t="str">
        <f t="shared" si="5"/>
        <v/>
      </c>
      <c r="AA42" t="str" cm="1">
        <f t="array" ref="AA42">IF(U42="", "", IFERROR(_xlfn.TEXTJOIN(", ", TRUE, IF((A$1:V$200=U42)*(ROW(A$1:V$200)&lt;&gt;ROW(U42))*(COLUMN(A$1:V$200)&lt;&gt;COLUMN(U42)), ADDRESS(ROW(A$1:V$200), COLUMN(A$1:V$200)), "")), "No Match"))</f>
        <v/>
      </c>
      <c r="AB42" t="str" cm="1">
        <f t="array" ref="AB42">IF(V42="", "", IFERROR(_xlfn.TEXTJOIN(", ", TRUE, IF((A$1:V$200=V42)*(ROW(A$1:V$200)&lt;&gt;ROW(V42))*(COLUMN(A$1:V$200)&lt;&gt;COLUMN(V42)), ADDRESS(ROW(A$1:V$200), COLUMN(A$1:V$200)), "")), "No Match"))</f>
        <v/>
      </c>
      <c r="AC42" t="str">
        <f t="shared" si="6"/>
        <v/>
      </c>
      <c r="AD42" t="str" cm="1">
        <f t="array" ref="AD42">IFERROR(_xlfn.TEXTJOIN(", ", TRUE, IF(INDEX(A:A, MID(AC42, FIND("[", AC42) + 1, FIND(",", AC42) - FIND("[", AC42) - 1) * 1):INDEX(A:A, MID(AC42, FIND(",", AC42) + 1, FIND("]", AC42) - FIND(",", AC42) - 1) * 1) = Y42, ROW(INDEX(A:A, MID(AC42, FIND("[", AC42) + 1, FIND(",", AC42) - FIND("[", AC42) - 1) * 1):INDEX(A:A, MID(AC42, FIND(",", AC42) + 1, FIND("]", AC42) - FIND(",", AC42) - 1) * 1)), "")), "")</f>
        <v/>
      </c>
      <c r="AE42" s="25" t="str">
        <f t="shared" si="7"/>
        <v/>
      </c>
      <c r="AF42" t="str">
        <f t="shared" si="8"/>
        <v/>
      </c>
      <c r="AG42" t="str" cm="1">
        <f t="array" ref="AG42">IFERROR(_xlfn.TEXTJOIN(", ", TRUE, IF(INDEX(A:A, MID(AF42, FIND("[", AF42) + 1, FIND(",", AF42) - FIND("[", AF42) - 1) * 1):INDEX(A:A, MID(AF42, FIND(",", AF42) + 1, FIND("]", AF42) - FIND(",", AF42) - 1) * 1) = Y42, ROW(INDEX(A:A, MID(AF42, FIND("[", AF42) + 1, FIND(",", AF42) - FIND("[", AF42) - 1) * 1):INDEX(A:A, MID(AF42, FIND(",", AF42) + 1, FIND("]", AF42) - FIND(",", AF42) - 1) * 1)), "")), "")</f>
        <v/>
      </c>
      <c r="AH42" s="24" t="str">
        <f t="shared" si="9"/>
        <v/>
      </c>
    </row>
    <row r="43" spans="1:34" x14ac:dyDescent="0.3">
      <c r="A43" s="21" t="s">
        <v>32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Y43" t="str">
        <f t="shared" si="4"/>
        <v/>
      </c>
      <c r="Z43" t="str">
        <f t="shared" si="5"/>
        <v/>
      </c>
      <c r="AA43" t="str" cm="1">
        <f t="array" ref="AA43">IF(U43="", "", IFERROR(_xlfn.TEXTJOIN(", ", TRUE, IF((A$1:V$200=U43)*(ROW(A$1:V$200)&lt;&gt;ROW(U43))*(COLUMN(A$1:V$200)&lt;&gt;COLUMN(U43)), ADDRESS(ROW(A$1:V$200), COLUMN(A$1:V$200)), "")), "No Match"))</f>
        <v/>
      </c>
      <c r="AB43" t="str" cm="1">
        <f t="array" ref="AB43">IF(V43="", "", IFERROR(_xlfn.TEXTJOIN(", ", TRUE, IF((A$1:V$200=V43)*(ROW(A$1:V$200)&lt;&gt;ROW(V43))*(COLUMN(A$1:V$200)&lt;&gt;COLUMN(V43)), ADDRESS(ROW(A$1:V$200), COLUMN(A$1:V$200)), "")), "No Match"))</f>
        <v/>
      </c>
      <c r="AC43" t="str">
        <f t="shared" si="6"/>
        <v/>
      </c>
      <c r="AD43" t="str" cm="1">
        <f t="array" ref="AD43">IFERROR(_xlfn.TEXTJOIN(", ", TRUE, IF(INDEX(A:A, MID(AC43, FIND("[", AC43) + 1, FIND(",", AC43) - FIND("[", AC43) - 1) * 1):INDEX(A:A, MID(AC43, FIND(",", AC43) + 1, FIND("]", AC43) - FIND(",", AC43) - 1) * 1) = Y43, ROW(INDEX(A:A, MID(AC43, FIND("[", AC43) + 1, FIND(",", AC43) - FIND("[", AC43) - 1) * 1):INDEX(A:A, MID(AC43, FIND(",", AC43) + 1, FIND("]", AC43) - FIND(",", AC43) - 1) * 1)), "")), "")</f>
        <v/>
      </c>
      <c r="AE43" s="25" t="str">
        <f t="shared" si="7"/>
        <v/>
      </c>
      <c r="AF43" t="str">
        <f t="shared" si="8"/>
        <v/>
      </c>
      <c r="AG43" t="str" cm="1">
        <f t="array" ref="AG43">IFERROR(_xlfn.TEXTJOIN(", ", TRUE, IF(INDEX(A:A, MID(AF43, FIND("[", AF43) + 1, FIND(",", AF43) - FIND("[", AF43) - 1) * 1):INDEX(A:A, MID(AF43, FIND(",", AF43) + 1, FIND("]", AF43) - FIND(",", AF43) - 1) * 1) = Y43, ROW(INDEX(A:A, MID(AF43, FIND("[", AF43) + 1, FIND(",", AF43) - FIND("[", AF43) - 1) * 1):INDEX(A:A, MID(AF43, FIND(",", AF43) + 1, FIND("]", AF43) - FIND(",", AF43) - 1) * 1)), "")), "")</f>
        <v/>
      </c>
      <c r="AH43" s="24" t="str">
        <f t="shared" si="9"/>
        <v/>
      </c>
    </row>
    <row r="44" spans="1:34" x14ac:dyDescent="0.3">
      <c r="A44" s="21" t="s">
        <v>3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Y44" t="str">
        <f t="shared" si="4"/>
        <v/>
      </c>
      <c r="Z44" t="str">
        <f t="shared" si="5"/>
        <v/>
      </c>
      <c r="AA44" t="str" cm="1">
        <f t="array" ref="AA44">IF(U44="", "", IFERROR(_xlfn.TEXTJOIN(", ", TRUE, IF((A$1:V$200=U44)*(ROW(A$1:V$200)&lt;&gt;ROW(U44))*(COLUMN(A$1:V$200)&lt;&gt;COLUMN(U44)), ADDRESS(ROW(A$1:V$200), COLUMN(A$1:V$200)), "")), "No Match"))</f>
        <v/>
      </c>
      <c r="AB44" t="str" cm="1">
        <f t="array" ref="AB44">IF(V44="", "", IFERROR(_xlfn.TEXTJOIN(", ", TRUE, IF((A$1:V$200=V44)*(ROW(A$1:V$200)&lt;&gt;ROW(V44))*(COLUMN(A$1:V$200)&lt;&gt;COLUMN(V44)), ADDRESS(ROW(A$1:V$200), COLUMN(A$1:V$200)), "")), "No Match"))</f>
        <v/>
      </c>
      <c r="AC44" t="str">
        <f t="shared" si="6"/>
        <v/>
      </c>
      <c r="AD44" t="str" cm="1">
        <f t="array" ref="AD44">IFERROR(_xlfn.TEXTJOIN(", ", TRUE, IF(INDEX(A:A, MID(AC44, FIND("[", AC44) + 1, FIND(",", AC44) - FIND("[", AC44) - 1) * 1):INDEX(A:A, MID(AC44, FIND(",", AC44) + 1, FIND("]", AC44) - FIND(",", AC44) - 1) * 1) = Y44, ROW(INDEX(A:A, MID(AC44, FIND("[", AC44) + 1, FIND(",", AC44) - FIND("[", AC44) - 1) * 1):INDEX(A:A, MID(AC44, FIND(",", AC44) + 1, FIND("]", AC44) - FIND(",", AC44) - 1) * 1)), "")), "")</f>
        <v/>
      </c>
      <c r="AE44" s="25" t="str">
        <f t="shared" si="7"/>
        <v/>
      </c>
      <c r="AF44" t="str">
        <f t="shared" si="8"/>
        <v/>
      </c>
      <c r="AG44" t="str" cm="1">
        <f t="array" ref="AG44">IFERROR(_xlfn.TEXTJOIN(", ", TRUE, IF(INDEX(A:A, MID(AF44, FIND("[", AF44) + 1, FIND(",", AF44) - FIND("[", AF44) - 1) * 1):INDEX(A:A, MID(AF44, FIND(",", AF44) + 1, FIND("]", AF44) - FIND(",", AF44) - 1) * 1) = Y44, ROW(INDEX(A:A, MID(AF44, FIND("[", AF44) + 1, FIND(",", AF44) - FIND("[", AF44) - 1) * 1):INDEX(A:A, MID(AF44, FIND(",", AF44) + 1, FIND("]", AF44) - FIND(",", AF44) - 1) * 1)), "")), "")</f>
        <v/>
      </c>
      <c r="AH44" s="24" t="str">
        <f t="shared" si="9"/>
        <v/>
      </c>
    </row>
    <row r="45" spans="1:34" x14ac:dyDescent="0.3">
      <c r="A45" s="21" t="s">
        <v>4</v>
      </c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Y45" t="str">
        <f t="shared" si="4"/>
        <v/>
      </c>
      <c r="Z45" t="str">
        <f t="shared" si="5"/>
        <v/>
      </c>
      <c r="AA45" t="str" cm="1">
        <f t="array" ref="AA45">IF(U45="", "", IFERROR(_xlfn.TEXTJOIN(", ", TRUE, IF((A$1:V$200=U45)*(ROW(A$1:V$200)&lt;&gt;ROW(U45))*(COLUMN(A$1:V$200)&lt;&gt;COLUMN(U45)), ADDRESS(ROW(A$1:V$200), COLUMN(A$1:V$200)), "")), "No Match"))</f>
        <v/>
      </c>
      <c r="AB45" t="str" cm="1">
        <f t="array" ref="AB45">IF(V45="", "", IFERROR(_xlfn.TEXTJOIN(", ", TRUE, IF((A$1:V$200=V45)*(ROW(A$1:V$200)&lt;&gt;ROW(V45))*(COLUMN(A$1:V$200)&lt;&gt;COLUMN(V45)), ADDRESS(ROW(A$1:V$200), COLUMN(A$1:V$200)), "")), "No Match"))</f>
        <v/>
      </c>
      <c r="AC45" t="str">
        <f t="shared" si="6"/>
        <v/>
      </c>
      <c r="AD45" t="str" cm="1">
        <f t="array" ref="AD45">IFERROR(_xlfn.TEXTJOIN(", ", TRUE, IF(INDEX(A:A, MID(AC45, FIND("[", AC45) + 1, FIND(",", AC45) - FIND("[", AC45) - 1) * 1):INDEX(A:A, MID(AC45, FIND(",", AC45) + 1, FIND("]", AC45) - FIND(",", AC45) - 1) * 1) = Y45, ROW(INDEX(A:A, MID(AC45, FIND("[", AC45) + 1, FIND(",", AC45) - FIND("[", AC45) - 1) * 1):INDEX(A:A, MID(AC45, FIND(",", AC45) + 1, FIND("]", AC45) - FIND(",", AC45) - 1) * 1)), "")), "")</f>
        <v/>
      </c>
      <c r="AE45" s="25" t="str">
        <f t="shared" si="7"/>
        <v/>
      </c>
      <c r="AF45" t="str">
        <f t="shared" si="8"/>
        <v/>
      </c>
      <c r="AG45" t="str" cm="1">
        <f t="array" ref="AG45">IFERROR(_xlfn.TEXTJOIN(", ", TRUE, IF(INDEX(A:A, MID(AF45, FIND("[", AF45) + 1, FIND(",", AF45) - FIND("[", AF45) - 1) * 1):INDEX(A:A, MID(AF45, FIND(",", AF45) + 1, FIND("]", AF45) - FIND(",", AF45) - 1) * 1) = Y45, ROW(INDEX(A:A, MID(AF45, FIND("[", AF45) + 1, FIND(",", AF45) - FIND("[", AF45) - 1) * 1):INDEX(A:A, MID(AF45, FIND(",", AF45) + 1, FIND("]", AF45) - FIND(",", AF45) - 1) * 1)), "")), "")</f>
        <v/>
      </c>
      <c r="AH45" s="24" t="str">
        <f t="shared" si="9"/>
        <v/>
      </c>
    </row>
    <row r="46" spans="1:34" x14ac:dyDescent="0.3">
      <c r="A46" s="21" t="s">
        <v>5</v>
      </c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Y46" t="str">
        <f t="shared" si="4"/>
        <v/>
      </c>
      <c r="Z46" t="str">
        <f t="shared" si="5"/>
        <v/>
      </c>
      <c r="AA46" t="str" cm="1">
        <f t="array" ref="AA46">IF(U46="", "", IFERROR(_xlfn.TEXTJOIN(", ", TRUE, IF((A$1:V$200=U46)*(ROW(A$1:V$200)&lt;&gt;ROW(U46))*(COLUMN(A$1:V$200)&lt;&gt;COLUMN(U46)), ADDRESS(ROW(A$1:V$200), COLUMN(A$1:V$200)), "")), "No Match"))</f>
        <v/>
      </c>
      <c r="AB46" t="str" cm="1">
        <f t="array" ref="AB46">IF(V46="", "", IFERROR(_xlfn.TEXTJOIN(", ", TRUE, IF((A$1:V$200=V46)*(ROW(A$1:V$200)&lt;&gt;ROW(V46))*(COLUMN(A$1:V$200)&lt;&gt;COLUMN(V46)), ADDRESS(ROW(A$1:V$200), COLUMN(A$1:V$200)), "")), "No Match"))</f>
        <v/>
      </c>
      <c r="AC46" t="str">
        <f t="shared" si="6"/>
        <v/>
      </c>
      <c r="AD46" t="str" cm="1">
        <f t="array" ref="AD46">IFERROR(_xlfn.TEXTJOIN(", ", TRUE, IF(INDEX(A:A, MID(AC46, FIND("[", AC46) + 1, FIND(",", AC46) - FIND("[", AC46) - 1) * 1):INDEX(A:A, MID(AC46, FIND(",", AC46) + 1, FIND("]", AC46) - FIND(",", AC46) - 1) * 1) = Y46, ROW(INDEX(A:A, MID(AC46, FIND("[", AC46) + 1, FIND(",", AC46) - FIND("[", AC46) - 1) * 1):INDEX(A:A, MID(AC46, FIND(",", AC46) + 1, FIND("]", AC46) - FIND(",", AC46) - 1) * 1)), "")), "")</f>
        <v/>
      </c>
      <c r="AE46" s="25" t="str">
        <f t="shared" si="7"/>
        <v/>
      </c>
      <c r="AF46" t="str">
        <f t="shared" si="8"/>
        <v/>
      </c>
      <c r="AG46" t="str" cm="1">
        <f t="array" ref="AG46">IFERROR(_xlfn.TEXTJOIN(", ", TRUE, IF(INDEX(A:A, MID(AF46, FIND("[", AF46) + 1, FIND(",", AF46) - FIND("[", AF46) - 1) * 1):INDEX(A:A, MID(AF46, FIND(",", AF46) + 1, FIND("]", AF46) - FIND(",", AF46) - 1) * 1) = Y46, ROW(INDEX(A:A, MID(AF46, FIND("[", AF46) + 1, FIND(",", AF46) - FIND("[", AF46) - 1) * 1):INDEX(A:A, MID(AF46, FIND(",", AF46) + 1, FIND("]", AF46) - FIND(",", AF46) - 1) * 1)), "")), "")</f>
        <v/>
      </c>
      <c r="AH46" s="24" t="str">
        <f t="shared" si="9"/>
        <v/>
      </c>
    </row>
    <row r="47" spans="1:34" ht="15.6" x14ac:dyDescent="0.3">
      <c r="A47" s="33" t="s">
        <v>9</v>
      </c>
      <c r="B47" s="34">
        <v>45793</v>
      </c>
      <c r="C47" s="34">
        <v>45794</v>
      </c>
      <c r="D47" s="34">
        <v>45795</v>
      </c>
      <c r="E47" s="34">
        <v>45796</v>
      </c>
      <c r="F47" s="34">
        <v>45797</v>
      </c>
      <c r="G47" s="34">
        <v>45798</v>
      </c>
      <c r="H47" s="34">
        <v>45799</v>
      </c>
      <c r="I47" s="34">
        <v>45800</v>
      </c>
      <c r="J47" s="34">
        <v>45801</v>
      </c>
      <c r="K47" s="34">
        <v>45802</v>
      </c>
      <c r="L47" s="34">
        <v>45803</v>
      </c>
      <c r="M47" s="34">
        <v>45804</v>
      </c>
      <c r="N47" s="34">
        <v>45805</v>
      </c>
      <c r="O47" s="34">
        <v>45806</v>
      </c>
      <c r="P47" s="34">
        <v>45807</v>
      </c>
      <c r="Q47" s="34">
        <v>45808</v>
      </c>
      <c r="Y47" t="str">
        <f t="shared" si="4"/>
        <v/>
      </c>
      <c r="Z47" t="str">
        <f t="shared" si="5"/>
        <v/>
      </c>
      <c r="AA47" t="str" cm="1">
        <f t="array" ref="AA47">IF(U47="", "", IFERROR(_xlfn.TEXTJOIN(", ", TRUE, IF((A$1:V$200=U47)*(ROW(A$1:V$200)&lt;&gt;ROW(U47))*(COLUMN(A$1:V$200)&lt;&gt;COLUMN(U47)), ADDRESS(ROW(A$1:V$200), COLUMN(A$1:V$200)), "")), "No Match"))</f>
        <v/>
      </c>
      <c r="AB47" t="str" cm="1">
        <f t="array" ref="AB47">IF(V47="", "", IFERROR(_xlfn.TEXTJOIN(", ", TRUE, IF((A$1:V$200=V47)*(ROW(A$1:V$200)&lt;&gt;ROW(V47))*(COLUMN(A$1:V$200)&lt;&gt;COLUMN(V47)), ADDRESS(ROW(A$1:V$200), COLUMN(A$1:V$200)), "")), "No Match"))</f>
        <v/>
      </c>
      <c r="AC47" t="str">
        <f t="shared" si="6"/>
        <v/>
      </c>
      <c r="AD47" t="str" cm="1">
        <f t="array" ref="AD47">IFERROR(_xlfn.TEXTJOIN(", ", TRUE, IF(INDEX(A:A, MID(AC47, FIND("[", AC47) + 1, FIND(",", AC47) - FIND("[", AC47) - 1) * 1):INDEX(A:A, MID(AC47, FIND(",", AC47) + 1, FIND("]", AC47) - FIND(",", AC47) - 1) * 1) = Y47, ROW(INDEX(A:A, MID(AC47, FIND("[", AC47) + 1, FIND(",", AC47) - FIND("[", AC47) - 1) * 1):INDEX(A:A, MID(AC47, FIND(",", AC47) + 1, FIND("]", AC47) - FIND(",", AC47) - 1) * 1)), "")), "")</f>
        <v/>
      </c>
      <c r="AE47" s="25" t="str">
        <f t="shared" si="7"/>
        <v/>
      </c>
      <c r="AF47" t="str">
        <f t="shared" si="8"/>
        <v/>
      </c>
      <c r="AG47" t="str" cm="1">
        <f t="array" ref="AG47">IFERROR(_xlfn.TEXTJOIN(", ", TRUE, IF(INDEX(A:A, MID(AF47, FIND("[", AF47) + 1, FIND(",", AF47) - FIND("[", AF47) - 1) * 1):INDEX(A:A, MID(AF47, FIND(",", AF47) + 1, FIND("]", AF47) - FIND(",", AF47) - 1) * 1) = Y47, ROW(INDEX(A:A, MID(AF47, FIND("[", AF47) + 1, FIND(",", AF47) - FIND("[", AF47) - 1) * 1):INDEX(A:A, MID(AF47, FIND(",", AF47) + 1, FIND("]", AF47) - FIND(",", AF47) - 1) * 1)), "")), "")</f>
        <v/>
      </c>
      <c r="AH47" s="24" t="str">
        <f t="shared" si="9"/>
        <v/>
      </c>
    </row>
    <row r="48" spans="1:34" x14ac:dyDescent="0.3">
      <c r="A48" s="21" t="s">
        <v>32</v>
      </c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Y48" t="str">
        <f t="shared" si="4"/>
        <v/>
      </c>
      <c r="Z48" t="str">
        <f t="shared" si="5"/>
        <v/>
      </c>
      <c r="AA48" t="str" cm="1">
        <f t="array" ref="AA48">IF(U48="", "", IFERROR(_xlfn.TEXTJOIN(", ", TRUE, IF((A$1:V$200=U48)*(ROW(A$1:V$200)&lt;&gt;ROW(U48))*(COLUMN(A$1:V$200)&lt;&gt;COLUMN(U48)), ADDRESS(ROW(A$1:V$200), COLUMN(A$1:V$200)), "")), "No Match"))</f>
        <v/>
      </c>
      <c r="AB48" t="str" cm="1">
        <f t="array" ref="AB48">IF(V48="", "", IFERROR(_xlfn.TEXTJOIN(", ", TRUE, IF((A$1:V$200=V48)*(ROW(A$1:V$200)&lt;&gt;ROW(V48))*(COLUMN(A$1:V$200)&lt;&gt;COLUMN(V48)), ADDRESS(ROW(A$1:V$200), COLUMN(A$1:V$200)), "")), "No Match"))</f>
        <v/>
      </c>
      <c r="AC48" t="str">
        <f t="shared" si="6"/>
        <v/>
      </c>
      <c r="AD48" t="str" cm="1">
        <f t="array" ref="AD48">IFERROR(_xlfn.TEXTJOIN(", ", TRUE, IF(INDEX(A:A, MID(AC48, FIND("[", AC48) + 1, FIND(",", AC48) - FIND("[", AC48) - 1) * 1):INDEX(A:A, MID(AC48, FIND(",", AC48) + 1, FIND("]", AC48) - FIND(",", AC48) - 1) * 1) = Y48, ROW(INDEX(A:A, MID(AC48, FIND("[", AC48) + 1, FIND(",", AC48) - FIND("[", AC48) - 1) * 1):INDEX(A:A, MID(AC48, FIND(",", AC48) + 1, FIND("]", AC48) - FIND(",", AC48) - 1) * 1)), "")), "")</f>
        <v/>
      </c>
      <c r="AE48" s="25" t="str">
        <f t="shared" si="7"/>
        <v/>
      </c>
      <c r="AF48" t="str">
        <f t="shared" si="8"/>
        <v/>
      </c>
      <c r="AG48" t="str" cm="1">
        <f t="array" ref="AG48">IFERROR(_xlfn.TEXTJOIN(", ", TRUE, IF(INDEX(A:A, MID(AF48, FIND("[", AF48) + 1, FIND(",", AF48) - FIND("[", AF48) - 1) * 1):INDEX(A:A, MID(AF48, FIND(",", AF48) + 1, FIND("]", AF48) - FIND(",", AF48) - 1) * 1) = Y48, ROW(INDEX(A:A, MID(AF48, FIND("[", AF48) + 1, FIND(",", AF48) - FIND("[", AF48) - 1) * 1):INDEX(A:A, MID(AF48, FIND(",", AF48) + 1, FIND("]", AF48) - FIND(",", AF48) - 1) * 1)), "")), "")</f>
        <v/>
      </c>
      <c r="AH48" s="24" t="str">
        <f t="shared" si="9"/>
        <v/>
      </c>
    </row>
    <row r="49" spans="1:34" x14ac:dyDescent="0.3">
      <c r="A49" s="21" t="s">
        <v>3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Y49" t="str">
        <f t="shared" si="4"/>
        <v/>
      </c>
      <c r="Z49" t="str">
        <f t="shared" si="5"/>
        <v/>
      </c>
      <c r="AA49" t="str" cm="1">
        <f t="array" ref="AA49">IF(U49="", "", IFERROR(_xlfn.TEXTJOIN(", ", TRUE, IF((A$1:V$200=U49)*(ROW(A$1:V$200)&lt;&gt;ROW(U49))*(COLUMN(A$1:V$200)&lt;&gt;COLUMN(U49)), ADDRESS(ROW(A$1:V$200), COLUMN(A$1:V$200)), "")), "No Match"))</f>
        <v/>
      </c>
      <c r="AB49" t="str" cm="1">
        <f t="array" ref="AB49">IF(V49="", "", IFERROR(_xlfn.TEXTJOIN(", ", TRUE, IF((A$1:V$200=V49)*(ROW(A$1:V$200)&lt;&gt;ROW(V49))*(COLUMN(A$1:V$200)&lt;&gt;COLUMN(V49)), ADDRESS(ROW(A$1:V$200), COLUMN(A$1:V$200)), "")), "No Match"))</f>
        <v/>
      </c>
      <c r="AC49" t="str">
        <f t="shared" si="6"/>
        <v/>
      </c>
      <c r="AD49" t="str" cm="1">
        <f t="array" ref="AD49">IFERROR(_xlfn.TEXTJOIN(", ", TRUE, IF(INDEX(A:A, MID(AC49, FIND("[", AC49) + 1, FIND(",", AC49) - FIND("[", AC49) - 1) * 1):INDEX(A:A, MID(AC49, FIND(",", AC49) + 1, FIND("]", AC49) - FIND(",", AC49) - 1) * 1) = Y49, ROW(INDEX(A:A, MID(AC49, FIND("[", AC49) + 1, FIND(",", AC49) - FIND("[", AC49) - 1) * 1):INDEX(A:A, MID(AC49, FIND(",", AC49) + 1, FIND("]", AC49) - FIND(",", AC49) - 1) * 1)), "")), "")</f>
        <v/>
      </c>
      <c r="AE49" s="25" t="str">
        <f t="shared" si="7"/>
        <v/>
      </c>
      <c r="AF49" t="str">
        <f t="shared" si="8"/>
        <v/>
      </c>
      <c r="AG49" t="str" cm="1">
        <f t="array" ref="AG49">IFERROR(_xlfn.TEXTJOIN(", ", TRUE, IF(INDEX(A:A, MID(AF49, FIND("[", AF49) + 1, FIND(",", AF49) - FIND("[", AF49) - 1) * 1):INDEX(A:A, MID(AF49, FIND(",", AF49) + 1, FIND("]", AF49) - FIND(",", AF49) - 1) * 1) = Y49, ROW(INDEX(A:A, MID(AF49, FIND("[", AF49) + 1, FIND(",", AF49) - FIND("[", AF49) - 1) * 1):INDEX(A:A, MID(AF49, FIND(",", AF49) + 1, FIND("]", AF49) - FIND(",", AF49) - 1) * 1)), "")), "")</f>
        <v/>
      </c>
      <c r="AH49" s="24" t="str">
        <f t="shared" si="9"/>
        <v/>
      </c>
    </row>
    <row r="50" spans="1:34" x14ac:dyDescent="0.3">
      <c r="A50" s="21" t="s">
        <v>4</v>
      </c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Y50" t="str">
        <f t="shared" si="4"/>
        <v/>
      </c>
      <c r="Z50" t="str">
        <f t="shared" si="5"/>
        <v/>
      </c>
      <c r="AA50" t="str" cm="1">
        <f t="array" ref="AA50">IF(U50="", "", IFERROR(_xlfn.TEXTJOIN(", ", TRUE, IF((A$1:V$200=U50)*(ROW(A$1:V$200)&lt;&gt;ROW(U50))*(COLUMN(A$1:V$200)&lt;&gt;COLUMN(U50)), ADDRESS(ROW(A$1:V$200), COLUMN(A$1:V$200)), "")), "No Match"))</f>
        <v/>
      </c>
      <c r="AB50" t="str" cm="1">
        <f t="array" ref="AB50">IF(V50="", "", IFERROR(_xlfn.TEXTJOIN(", ", TRUE, IF((A$1:V$200=V50)*(ROW(A$1:V$200)&lt;&gt;ROW(V50))*(COLUMN(A$1:V$200)&lt;&gt;COLUMN(V50)), ADDRESS(ROW(A$1:V$200), COLUMN(A$1:V$200)), "")), "No Match"))</f>
        <v/>
      </c>
      <c r="AC50" t="str">
        <f t="shared" si="6"/>
        <v/>
      </c>
      <c r="AD50" t="str" cm="1">
        <f t="array" ref="AD50">IFERROR(_xlfn.TEXTJOIN(", ", TRUE, IF(INDEX(A:A, MID(AC50, FIND("[", AC50) + 1, FIND(",", AC50) - FIND("[", AC50) - 1) * 1):INDEX(A:A, MID(AC50, FIND(",", AC50) + 1, FIND("]", AC50) - FIND(",", AC50) - 1) * 1) = Y50, ROW(INDEX(A:A, MID(AC50, FIND("[", AC50) + 1, FIND(",", AC50) - FIND("[", AC50) - 1) * 1):INDEX(A:A, MID(AC50, FIND(",", AC50) + 1, FIND("]", AC50) - FIND(",", AC50) - 1) * 1)), "")), "")</f>
        <v/>
      </c>
      <c r="AE50" s="25" t="str">
        <f t="shared" si="7"/>
        <v/>
      </c>
      <c r="AF50" t="str">
        <f t="shared" si="8"/>
        <v/>
      </c>
      <c r="AG50" t="str" cm="1">
        <f t="array" ref="AG50">IFERROR(_xlfn.TEXTJOIN(", ", TRUE, IF(INDEX(A:A, MID(AF50, FIND("[", AF50) + 1, FIND(",", AF50) - FIND("[", AF50) - 1) * 1):INDEX(A:A, MID(AF50, FIND(",", AF50) + 1, FIND("]", AF50) - FIND(",", AF50) - 1) * 1) = Y50, ROW(INDEX(A:A, MID(AF50, FIND("[", AF50) + 1, FIND(",", AF50) - FIND("[", AF50) - 1) * 1):INDEX(A:A, MID(AF50, FIND(",", AF50) + 1, FIND("]", AF50) - FIND(",", AF50) - 1) * 1)), "")), "")</f>
        <v/>
      </c>
      <c r="AH50" s="24" t="str">
        <f t="shared" si="9"/>
        <v/>
      </c>
    </row>
    <row r="51" spans="1:34" x14ac:dyDescent="0.3">
      <c r="A51" s="21" t="s">
        <v>5</v>
      </c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</row>
    <row r="52" spans="1:34" ht="15.6" x14ac:dyDescent="0.3">
      <c r="A52" s="33" t="s">
        <v>10</v>
      </c>
      <c r="B52" s="34">
        <v>45809</v>
      </c>
      <c r="C52" s="34">
        <v>45810</v>
      </c>
      <c r="D52" s="34">
        <v>45811</v>
      </c>
      <c r="E52" s="34">
        <v>45812</v>
      </c>
      <c r="F52" s="34">
        <v>45813</v>
      </c>
      <c r="G52" s="34">
        <v>45814</v>
      </c>
      <c r="H52" s="34">
        <v>45815</v>
      </c>
      <c r="I52" s="34">
        <v>45816</v>
      </c>
      <c r="J52" s="34">
        <v>45817</v>
      </c>
      <c r="K52" s="34">
        <v>45818</v>
      </c>
      <c r="L52" s="34">
        <v>45819</v>
      </c>
      <c r="M52" s="34">
        <v>45820</v>
      </c>
      <c r="N52" s="34">
        <v>45821</v>
      </c>
      <c r="O52" s="34">
        <v>45822</v>
      </c>
      <c r="P52" s="34">
        <v>45823</v>
      </c>
    </row>
    <row r="53" spans="1:34" x14ac:dyDescent="0.3">
      <c r="A53" s="21" t="s">
        <v>32</v>
      </c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  <row r="54" spans="1:34" x14ac:dyDescent="0.3">
      <c r="A54" s="21" t="s">
        <v>3</v>
      </c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1:34" x14ac:dyDescent="0.3">
      <c r="A55" s="21" t="s">
        <v>4</v>
      </c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1:34" x14ac:dyDescent="0.3">
      <c r="A56" s="21" t="s">
        <v>5</v>
      </c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</row>
    <row r="57" spans="1:34" ht="15.6" x14ac:dyDescent="0.3">
      <c r="A57" s="33" t="s">
        <v>10</v>
      </c>
      <c r="B57" s="34">
        <v>45824</v>
      </c>
      <c r="C57" s="34">
        <v>45825</v>
      </c>
      <c r="D57" s="34">
        <v>45826</v>
      </c>
      <c r="E57" s="34">
        <v>45827</v>
      </c>
      <c r="F57" s="34">
        <v>45828</v>
      </c>
      <c r="G57" s="34">
        <v>45829</v>
      </c>
      <c r="H57" s="34">
        <v>45830</v>
      </c>
      <c r="I57" s="34">
        <v>45831</v>
      </c>
      <c r="J57" s="34">
        <v>45832</v>
      </c>
      <c r="K57" s="34">
        <v>45833</v>
      </c>
      <c r="L57" s="34">
        <v>45834</v>
      </c>
      <c r="M57" s="34">
        <v>45835</v>
      </c>
      <c r="N57" s="34">
        <v>45836</v>
      </c>
      <c r="O57" s="34">
        <v>45837</v>
      </c>
      <c r="P57" s="34">
        <v>45838</v>
      </c>
    </row>
    <row r="58" spans="1:34" ht="15.6" x14ac:dyDescent="0.3">
      <c r="A58" s="35" t="s">
        <v>32</v>
      </c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</row>
    <row r="59" spans="1:34" x14ac:dyDescent="0.3">
      <c r="A59" s="21" t="s">
        <v>3</v>
      </c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</row>
    <row r="60" spans="1:34" x14ac:dyDescent="0.3">
      <c r="A60" s="21" t="s">
        <v>4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</row>
    <row r="61" spans="1:34" x14ac:dyDescent="0.3">
      <c r="A61" s="21" t="s">
        <v>5</v>
      </c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</row>
    <row r="62" spans="1:34" ht="15.6" x14ac:dyDescent="0.3">
      <c r="A62" s="33" t="s">
        <v>11</v>
      </c>
      <c r="B62" s="34">
        <v>45839</v>
      </c>
      <c r="C62" s="34">
        <v>45840</v>
      </c>
      <c r="D62" s="34">
        <v>45841</v>
      </c>
      <c r="E62" s="34">
        <v>45842</v>
      </c>
      <c r="F62" s="34">
        <v>45843</v>
      </c>
      <c r="G62" s="34">
        <v>45844</v>
      </c>
      <c r="H62" s="34">
        <v>45845</v>
      </c>
      <c r="I62" s="34">
        <v>45846</v>
      </c>
      <c r="J62" s="34">
        <v>45847</v>
      </c>
      <c r="K62" s="34">
        <v>45848</v>
      </c>
      <c r="L62" s="34">
        <v>45849</v>
      </c>
      <c r="M62" s="34">
        <v>45850</v>
      </c>
      <c r="N62" s="34">
        <v>45851</v>
      </c>
      <c r="O62" s="34">
        <v>45852</v>
      </c>
      <c r="P62" s="34">
        <v>45853</v>
      </c>
    </row>
    <row r="63" spans="1:34" x14ac:dyDescent="0.3">
      <c r="A63" s="21" t="s">
        <v>32</v>
      </c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</row>
    <row r="64" spans="1:34" x14ac:dyDescent="0.3">
      <c r="A64" s="21" t="s">
        <v>3</v>
      </c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</row>
    <row r="65" spans="1:17" x14ac:dyDescent="0.3">
      <c r="A65" s="21" t="s">
        <v>4</v>
      </c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</row>
    <row r="66" spans="1:17" x14ac:dyDescent="0.3">
      <c r="A66" s="21" t="s">
        <v>5</v>
      </c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</row>
    <row r="67" spans="1:17" ht="15.6" x14ac:dyDescent="0.3">
      <c r="A67" s="33" t="s">
        <v>11</v>
      </c>
      <c r="B67" s="34">
        <v>45854</v>
      </c>
      <c r="C67" s="34">
        <v>45855</v>
      </c>
      <c r="D67" s="34">
        <v>45856</v>
      </c>
      <c r="E67" s="34">
        <v>45857</v>
      </c>
      <c r="F67" s="34">
        <v>45858</v>
      </c>
      <c r="G67" s="34">
        <v>45859</v>
      </c>
      <c r="H67" s="34">
        <v>45860</v>
      </c>
      <c r="I67" s="34">
        <v>45861</v>
      </c>
      <c r="J67" s="34">
        <v>45862</v>
      </c>
      <c r="K67" s="34">
        <v>45863</v>
      </c>
      <c r="L67" s="34">
        <v>45864</v>
      </c>
      <c r="M67" s="34">
        <v>45865</v>
      </c>
      <c r="N67" s="34">
        <v>45866</v>
      </c>
      <c r="O67" s="34">
        <v>45867</v>
      </c>
      <c r="P67" s="34">
        <v>45868</v>
      </c>
      <c r="Q67" s="34">
        <v>45869</v>
      </c>
    </row>
    <row r="68" spans="1:17" x14ac:dyDescent="0.3">
      <c r="A68" s="21" t="s">
        <v>32</v>
      </c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</row>
    <row r="69" spans="1:17" x14ac:dyDescent="0.3">
      <c r="A69" s="21" t="s">
        <v>3</v>
      </c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</row>
    <row r="70" spans="1:17" x14ac:dyDescent="0.3">
      <c r="A70" s="21" t="s">
        <v>4</v>
      </c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</row>
    <row r="71" spans="1:17" x14ac:dyDescent="0.3">
      <c r="A71" s="21" t="s">
        <v>5</v>
      </c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</row>
    <row r="72" spans="1:17" ht="15.6" x14ac:dyDescent="0.3">
      <c r="A72" s="33" t="s">
        <v>12</v>
      </c>
      <c r="B72" s="34">
        <v>45870</v>
      </c>
      <c r="C72" s="34">
        <v>45871</v>
      </c>
      <c r="D72" s="34">
        <v>45872</v>
      </c>
      <c r="E72" s="34">
        <v>45873</v>
      </c>
      <c r="F72" s="34">
        <v>45874</v>
      </c>
      <c r="G72" s="34">
        <v>45875</v>
      </c>
      <c r="H72" s="34">
        <v>45876</v>
      </c>
      <c r="I72" s="34">
        <v>45877</v>
      </c>
      <c r="J72" s="34">
        <v>45878</v>
      </c>
      <c r="K72" s="34">
        <v>45879</v>
      </c>
      <c r="L72" s="34">
        <v>45880</v>
      </c>
      <c r="M72" s="34">
        <v>45881</v>
      </c>
      <c r="N72" s="34">
        <v>45882</v>
      </c>
      <c r="O72" s="34">
        <v>45883</v>
      </c>
      <c r="P72" s="34">
        <v>45884</v>
      </c>
    </row>
    <row r="73" spans="1:17" x14ac:dyDescent="0.3">
      <c r="A73" s="21" t="s">
        <v>32</v>
      </c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</row>
    <row r="74" spans="1:17" x14ac:dyDescent="0.3">
      <c r="A74" s="21" t="s">
        <v>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</row>
    <row r="75" spans="1:17" x14ac:dyDescent="0.3">
      <c r="A75" s="21" t="s">
        <v>4</v>
      </c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</row>
    <row r="76" spans="1:17" x14ac:dyDescent="0.3">
      <c r="A76" s="21" t="s">
        <v>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</row>
    <row r="77" spans="1:17" ht="15.6" x14ac:dyDescent="0.3">
      <c r="A77" s="33" t="s">
        <v>12</v>
      </c>
      <c r="B77" s="34">
        <v>45885</v>
      </c>
      <c r="C77" s="34">
        <v>45886</v>
      </c>
      <c r="D77" s="34">
        <v>45887</v>
      </c>
      <c r="E77" s="34">
        <v>45888</v>
      </c>
      <c r="F77" s="34">
        <v>45889</v>
      </c>
      <c r="G77" s="34">
        <v>45890</v>
      </c>
      <c r="H77" s="34">
        <v>45891</v>
      </c>
      <c r="I77" s="34">
        <v>45892</v>
      </c>
      <c r="J77" s="34">
        <v>45893</v>
      </c>
      <c r="K77" s="34">
        <v>45894</v>
      </c>
      <c r="L77" s="34">
        <v>45895</v>
      </c>
      <c r="M77" s="34">
        <v>45896</v>
      </c>
      <c r="N77" s="34">
        <v>45897</v>
      </c>
      <c r="O77" s="34">
        <v>45898</v>
      </c>
      <c r="P77" s="34">
        <v>45899</v>
      </c>
      <c r="Q77" s="34">
        <v>45900</v>
      </c>
    </row>
    <row r="78" spans="1:17" x14ac:dyDescent="0.3">
      <c r="A78" s="21" t="s">
        <v>32</v>
      </c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</row>
    <row r="79" spans="1:17" x14ac:dyDescent="0.3">
      <c r="A79" s="21" t="s">
        <v>3</v>
      </c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</row>
    <row r="80" spans="1:17" x14ac:dyDescent="0.3">
      <c r="A80" s="21" t="s">
        <v>4</v>
      </c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</row>
    <row r="81" spans="1:17" x14ac:dyDescent="0.3">
      <c r="A81" s="21" t="s">
        <v>5</v>
      </c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</row>
    <row r="82" spans="1:17" ht="15.6" x14ac:dyDescent="0.3">
      <c r="A82" s="33" t="s">
        <v>13</v>
      </c>
      <c r="B82" s="34">
        <v>45901</v>
      </c>
      <c r="C82" s="34">
        <v>45902</v>
      </c>
      <c r="D82" s="34">
        <v>45903</v>
      </c>
      <c r="E82" s="34">
        <v>45904</v>
      </c>
      <c r="F82" s="34">
        <v>45905</v>
      </c>
      <c r="G82" s="34">
        <v>45906</v>
      </c>
      <c r="H82" s="34">
        <v>45907</v>
      </c>
      <c r="I82" s="34">
        <v>45908</v>
      </c>
      <c r="J82" s="34">
        <v>45909</v>
      </c>
      <c r="K82" s="34">
        <v>45910</v>
      </c>
      <c r="L82" s="34">
        <v>45911</v>
      </c>
      <c r="M82" s="34">
        <v>45912</v>
      </c>
      <c r="N82" s="34">
        <v>45913</v>
      </c>
      <c r="O82" s="34">
        <v>45914</v>
      </c>
      <c r="P82" s="34">
        <v>45915</v>
      </c>
    </row>
    <row r="83" spans="1:17" x14ac:dyDescent="0.3">
      <c r="A83" s="21" t="s">
        <v>32</v>
      </c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</row>
    <row r="84" spans="1:17" x14ac:dyDescent="0.3">
      <c r="A84" s="21" t="s">
        <v>3</v>
      </c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</row>
    <row r="85" spans="1:17" x14ac:dyDescent="0.3">
      <c r="A85" s="21" t="s">
        <v>4</v>
      </c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7" x14ac:dyDescent="0.3">
      <c r="A86" s="21" t="s">
        <v>5</v>
      </c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</row>
    <row r="87" spans="1:17" ht="15.6" x14ac:dyDescent="0.3">
      <c r="A87" s="33" t="s">
        <v>13</v>
      </c>
      <c r="B87" s="34">
        <v>45916</v>
      </c>
      <c r="C87" s="34">
        <v>45917</v>
      </c>
      <c r="D87" s="34">
        <v>45918</v>
      </c>
      <c r="E87" s="34">
        <v>45919</v>
      </c>
      <c r="F87" s="34">
        <v>45920</v>
      </c>
      <c r="G87" s="34">
        <v>45921</v>
      </c>
      <c r="H87" s="34">
        <v>45922</v>
      </c>
      <c r="I87" s="34">
        <v>45923</v>
      </c>
      <c r="J87" s="34">
        <v>45924</v>
      </c>
      <c r="K87" s="34">
        <v>45925</v>
      </c>
      <c r="L87" s="34">
        <v>45926</v>
      </c>
      <c r="M87" s="34">
        <v>45927</v>
      </c>
      <c r="N87" s="34">
        <v>45928</v>
      </c>
      <c r="O87" s="34">
        <v>45929</v>
      </c>
      <c r="P87" s="34">
        <v>45930</v>
      </c>
    </row>
    <row r="88" spans="1:17" x14ac:dyDescent="0.3">
      <c r="A88" s="21" t="s">
        <v>32</v>
      </c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</row>
    <row r="89" spans="1:17" x14ac:dyDescent="0.3">
      <c r="A89" s="21" t="s">
        <v>3</v>
      </c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</row>
    <row r="90" spans="1:17" x14ac:dyDescent="0.3">
      <c r="A90" s="21" t="s">
        <v>4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</row>
    <row r="91" spans="1:17" x14ac:dyDescent="0.3">
      <c r="A91" s="21" t="s">
        <v>5</v>
      </c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</row>
    <row r="92" spans="1:17" ht="15.6" x14ac:dyDescent="0.3">
      <c r="A92" s="33" t="s">
        <v>14</v>
      </c>
      <c r="B92" s="34">
        <v>45931</v>
      </c>
      <c r="C92" s="34">
        <v>45932</v>
      </c>
      <c r="D92" s="34">
        <v>45933</v>
      </c>
      <c r="E92" s="34">
        <v>45934</v>
      </c>
      <c r="F92" s="34">
        <v>45935</v>
      </c>
      <c r="G92" s="34">
        <v>45936</v>
      </c>
      <c r="H92" s="34">
        <v>45937</v>
      </c>
      <c r="I92" s="34">
        <v>45938</v>
      </c>
      <c r="J92" s="34">
        <v>45939</v>
      </c>
      <c r="K92" s="34">
        <v>45940</v>
      </c>
      <c r="L92" s="34">
        <v>45941</v>
      </c>
      <c r="M92" s="34">
        <v>45942</v>
      </c>
      <c r="N92" s="34">
        <v>45943</v>
      </c>
      <c r="O92" s="34">
        <v>45944</v>
      </c>
      <c r="P92" s="34">
        <v>45945</v>
      </c>
    </row>
    <row r="93" spans="1:17" x14ac:dyDescent="0.3">
      <c r="A93" s="21" t="s">
        <v>32</v>
      </c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</row>
    <row r="94" spans="1:17" x14ac:dyDescent="0.3">
      <c r="A94" s="21" t="s">
        <v>3</v>
      </c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</row>
    <row r="95" spans="1:17" x14ac:dyDescent="0.3">
      <c r="A95" s="21" t="s">
        <v>4</v>
      </c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</row>
    <row r="96" spans="1:17" x14ac:dyDescent="0.3">
      <c r="A96" s="21" t="s">
        <v>5</v>
      </c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</row>
    <row r="97" spans="1:17" ht="15.6" x14ac:dyDescent="0.3">
      <c r="A97" s="33" t="s">
        <v>14</v>
      </c>
      <c r="B97" s="34">
        <v>45946</v>
      </c>
      <c r="C97" s="34">
        <v>45947</v>
      </c>
      <c r="D97" s="34">
        <v>45948</v>
      </c>
      <c r="E97" s="34">
        <v>45949</v>
      </c>
      <c r="F97" s="34">
        <v>45950</v>
      </c>
      <c r="G97" s="34">
        <v>45951</v>
      </c>
      <c r="H97" s="34">
        <v>45952</v>
      </c>
      <c r="I97" s="34">
        <v>45953</v>
      </c>
      <c r="J97" s="34">
        <v>45954</v>
      </c>
      <c r="K97" s="34">
        <v>45955</v>
      </c>
      <c r="L97" s="34">
        <v>45956</v>
      </c>
      <c r="M97" s="34">
        <v>45957</v>
      </c>
      <c r="N97" s="34">
        <v>45958</v>
      </c>
      <c r="O97" s="34">
        <v>45959</v>
      </c>
      <c r="P97" s="34">
        <v>45960</v>
      </c>
      <c r="Q97" s="34">
        <v>45961</v>
      </c>
    </row>
    <row r="98" spans="1:17" x14ac:dyDescent="0.3">
      <c r="A98" s="21" t="s">
        <v>32</v>
      </c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</row>
    <row r="99" spans="1:17" x14ac:dyDescent="0.3">
      <c r="A99" s="21" t="s">
        <v>3</v>
      </c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</row>
    <row r="100" spans="1:17" x14ac:dyDescent="0.3">
      <c r="A100" s="21" t="s">
        <v>4</v>
      </c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</row>
    <row r="101" spans="1:17" x14ac:dyDescent="0.3">
      <c r="A101" s="21" t="s">
        <v>5</v>
      </c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</row>
    <row r="102" spans="1:17" ht="15.6" x14ac:dyDescent="0.3">
      <c r="A102" s="33" t="s">
        <v>15</v>
      </c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</row>
    <row r="103" spans="1:17" x14ac:dyDescent="0.3">
      <c r="A103" s="21" t="s">
        <v>32</v>
      </c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</row>
    <row r="104" spans="1:17" x14ac:dyDescent="0.3">
      <c r="A104" s="21" t="s">
        <v>3</v>
      </c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</row>
    <row r="105" spans="1:17" x14ac:dyDescent="0.3">
      <c r="A105" s="21" t="s">
        <v>4</v>
      </c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</row>
    <row r="106" spans="1:17" x14ac:dyDescent="0.3">
      <c r="A106" s="21" t="s">
        <v>5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</row>
    <row r="107" spans="1:17" ht="15.6" x14ac:dyDescent="0.3">
      <c r="A107" s="33" t="s">
        <v>15</v>
      </c>
      <c r="B107" s="34">
        <v>45977</v>
      </c>
      <c r="C107" s="34">
        <v>45978</v>
      </c>
      <c r="D107" s="34">
        <v>45979</v>
      </c>
      <c r="E107" s="34">
        <v>45980</v>
      </c>
      <c r="F107" s="34">
        <v>45981</v>
      </c>
      <c r="G107" s="34">
        <v>45982</v>
      </c>
      <c r="H107" s="34">
        <v>45983</v>
      </c>
      <c r="I107" s="34">
        <v>45984</v>
      </c>
      <c r="J107" s="34">
        <v>45985</v>
      </c>
      <c r="K107" s="34">
        <v>45986</v>
      </c>
      <c r="L107" s="34">
        <v>45987</v>
      </c>
      <c r="M107" s="34">
        <v>45988</v>
      </c>
      <c r="N107" s="34">
        <v>45989</v>
      </c>
      <c r="O107" s="34">
        <v>45990</v>
      </c>
      <c r="P107" s="34">
        <v>45991</v>
      </c>
    </row>
    <row r="108" spans="1:17" x14ac:dyDescent="0.3">
      <c r="A108" s="21" t="s">
        <v>32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</row>
    <row r="109" spans="1:17" x14ac:dyDescent="0.3">
      <c r="A109" s="21" t="s">
        <v>3</v>
      </c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</row>
    <row r="110" spans="1:17" x14ac:dyDescent="0.3">
      <c r="A110" s="21" t="s">
        <v>4</v>
      </c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</row>
    <row r="111" spans="1:17" x14ac:dyDescent="0.3">
      <c r="A111" s="21" t="s">
        <v>5</v>
      </c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</row>
    <row r="112" spans="1:17" ht="15.6" x14ac:dyDescent="0.3">
      <c r="A112" s="33" t="s">
        <v>16</v>
      </c>
      <c r="B112" s="34">
        <v>45992</v>
      </c>
      <c r="C112" s="34">
        <v>45993</v>
      </c>
      <c r="D112" s="34">
        <v>45994</v>
      </c>
      <c r="E112" s="34">
        <v>45995</v>
      </c>
      <c r="F112" s="34">
        <v>45996</v>
      </c>
      <c r="G112" s="34">
        <v>45997</v>
      </c>
      <c r="H112" s="34">
        <v>45998</v>
      </c>
      <c r="I112" s="34">
        <v>45999</v>
      </c>
      <c r="J112" s="34">
        <v>46000</v>
      </c>
      <c r="K112" s="34">
        <v>46001</v>
      </c>
      <c r="L112" s="34">
        <v>46002</v>
      </c>
      <c r="M112" s="34">
        <v>46003</v>
      </c>
      <c r="N112" s="34">
        <v>46004</v>
      </c>
      <c r="O112" s="34">
        <v>46005</v>
      </c>
      <c r="P112" s="34">
        <v>46006</v>
      </c>
    </row>
    <row r="113" spans="1:17" x14ac:dyDescent="0.3">
      <c r="A113" s="21" t="s">
        <v>32</v>
      </c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</row>
    <row r="114" spans="1:17" x14ac:dyDescent="0.3">
      <c r="A114" s="21" t="s">
        <v>3</v>
      </c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</row>
    <row r="115" spans="1:17" x14ac:dyDescent="0.3">
      <c r="A115" s="21" t="s">
        <v>4</v>
      </c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</row>
    <row r="116" spans="1:17" x14ac:dyDescent="0.3">
      <c r="A116" s="21" t="s">
        <v>5</v>
      </c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</row>
    <row r="117" spans="1:17" ht="15.6" x14ac:dyDescent="0.3">
      <c r="A117" s="33" t="s">
        <v>16</v>
      </c>
      <c r="B117" s="34">
        <v>46007</v>
      </c>
      <c r="C117" s="34">
        <v>46008</v>
      </c>
      <c r="D117" s="34">
        <v>46009</v>
      </c>
      <c r="E117" s="34">
        <v>46010</v>
      </c>
      <c r="F117" s="34">
        <v>46011</v>
      </c>
      <c r="G117" s="34">
        <v>46012</v>
      </c>
      <c r="H117" s="34">
        <v>46013</v>
      </c>
      <c r="I117" s="34">
        <v>46014</v>
      </c>
      <c r="J117" s="34">
        <v>46015</v>
      </c>
      <c r="K117" s="34">
        <v>46016</v>
      </c>
      <c r="L117" s="34">
        <v>46017</v>
      </c>
      <c r="M117" s="34">
        <v>46018</v>
      </c>
      <c r="N117" s="34">
        <v>46019</v>
      </c>
      <c r="O117" s="34">
        <v>46020</v>
      </c>
      <c r="P117" s="34">
        <v>46021</v>
      </c>
      <c r="Q117" s="34">
        <v>46022</v>
      </c>
    </row>
    <row r="118" spans="1:17" x14ac:dyDescent="0.3">
      <c r="A118" s="21" t="s">
        <v>32</v>
      </c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</row>
    <row r="119" spans="1:17" x14ac:dyDescent="0.3">
      <c r="A119" s="21" t="s">
        <v>3</v>
      </c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</row>
    <row r="120" spans="1:17" x14ac:dyDescent="0.3">
      <c r="A120" s="21" t="s">
        <v>4</v>
      </c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</row>
    <row r="121" spans="1:17" x14ac:dyDescent="0.3">
      <c r="A121" s="26" t="s">
        <v>5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</row>
    <row r="122" spans="1:17" x14ac:dyDescent="0.3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7"/>
    </row>
  </sheetData>
  <dataConsolidate/>
  <mergeCells count="1">
    <mergeCell ref="A1:Q1"/>
  </mergeCells>
  <phoneticPr fontId="5" type="noConversion"/>
  <dataValidations count="2">
    <dataValidation type="list" allowBlank="1" showInputMessage="1" showErrorMessage="1" sqref="T12 T2" xr:uid="{BBA96F30-74C3-409F-88B5-A111DAA1EAFC}">
      <formula1>$T$2:$T$5</formula1>
    </dataValidation>
    <dataValidation type="list" allowBlank="1" showInputMessage="1" showErrorMessage="1" sqref="S12" xr:uid="{550ACA44-3591-4429-B865-CEB8476F6215}">
      <formula1>$T$2:$T$5+$S$2:$T$5</formula1>
    </dataValidation>
  </dataValidations>
  <pageMargins left="0.7" right="0.7" top="0.75" bottom="0.75" header="0.3" footer="0.3"/>
  <pageSetup paperSize="9" scale="24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2024</vt:lpstr>
      <vt:lpstr>2025</vt:lpstr>
      <vt:lpstr>'2024'!Print_Area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Servizi Sociali Autogestiti onlus</dc:creator>
  <cp:lastModifiedBy>DANI</cp:lastModifiedBy>
  <cp:lastPrinted>2025-02-14T10:37:59Z</cp:lastPrinted>
  <dcterms:created xsi:type="dcterms:W3CDTF">2024-06-12T07:51:15Z</dcterms:created>
  <dcterms:modified xsi:type="dcterms:W3CDTF">2025-03-12T18:02:05Z</dcterms:modified>
</cp:coreProperties>
</file>